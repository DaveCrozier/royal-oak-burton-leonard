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sharedStrings.xml><?xml version="1.0" encoding="utf-8"?>
<sst xmlns="http://schemas.openxmlformats.org/spreadsheetml/2006/main" count="342" uniqueCount="198">
  <si>
    <t xml:space="preserve">The Royal Oak: website content sheet</t>
  </si>
  <si>
    <t xml:space="preserve">Anything you add on the Hours, Menu, Drinks, Offers, Events and Feature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</si>
  <si>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</si>
  <si>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</si>
  <si>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</si>
  <si>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</si>
  <si>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</si>
  <si>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</si>
  <si>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</si>
  <si>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</si>
  <si>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</si>
  <si>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</si>
  <si>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</si>
  <si>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</si>
  <si>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</si>
  <si>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</si>
  <si>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</si>
  <si>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</si>
  <si>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</si>
  <si>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</si>
  <si>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</si>
  <si>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</si>
  <si>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</si>
  <si>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</si>
  <si>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</si>
  <si>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</si>
  <si>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</si>
  <si>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</si>
  <si>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</si>
  <si>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</si>
  <si>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</si>
  <si>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</si>
  <si>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</si>
  <si>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</si>
  <si>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</si>
  <si>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</si>
  <si>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</si>
  <si>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</si>
  <si>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</si>
  <si>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File &gt; Share &gt; Publish to web &gt; pick that tab &gt; choose 'Comma-separated values (.csv)' &gt; Publish. Copy the link.</t>
  </si>
  <si>
    <t xml:space="preserve">3. Paste the six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</si>
  <si>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</si>
  <si>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</si>
  <si>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</si>
  <si>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</si>
  <si>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</si>
  <si>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</si>
  <si>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</si>
  <si>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</si>
  <si>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</si>
  <si>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</si>
  <si>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</si>
  <si>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</si>
  <si>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</si>
  <si>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</si>
  <si>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</si>
  <si>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</si>
  <si>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</si>
  <si>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</si>
  <si>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</si>
  <si>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</si>
  <si>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</si>
  <si>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</si>
  <si>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</si>
  <si>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</si>
  <si>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</si>
  <si>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</si>
  <si>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</si>
  <si>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</si>
  <si>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</si>
  <si>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</si>
  <si>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</si>
  <si>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</si>
  <si>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</si>
  <si>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</si>
  <si>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</si>
  <si>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</si>
  <si>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</si>
  <si>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</si>
  <si>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</si>
  <si>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</si>
  <si>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</si>
  <si>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</si>
  <si>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</si>
  <si>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</si>
  <si>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</si>
  <si>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</si>
  <si>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The 5-5-5 menu: Friday 9 and Saturday 10 October</t>
  </si>
  <si>
    <t xml:space="preserve">Fish &amp; chips. Curry. Wagyu burger. 5 bean chilli &amp; rice. Sausage &amp; mash with onion gravy.</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</si>
  <si>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</si>
  <si>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</si>
  <si>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</si>
  <si>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</si>
  <si>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</si>
  <si>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</si>
  <si>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</si>
  <si>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</si>
  <si>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</si>
  <si>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</si>
  <si>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</si>
  <si>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</si>
  <si>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</si>
  <si>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</si>
  <si>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</si>
  <si>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</si>
  <si>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</si>
  <si>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</si>
  <si>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</si>
  <si>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</si>
  <si>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</si>
  <si>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</si>
  <si>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</si>
  <si>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</si>
  <si>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</si>
  <si>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</si>
  <si>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</si>
  <si>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</si>
  <si>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</si>
  <si>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</si>
  <si>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</si>
  <si>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</si>
  <si>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</si>
  <si>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</si>
  <si>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</si>
  <si>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</si>
  <si>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</si>
  <si>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</si>
  <si>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</si>
  <si>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</si>
  <si>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</si>
  <si>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</si>
  <si>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</si>
  <si>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</si>
  <si>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</si>
  <si>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</si>
  <si>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</si>
  <si>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</si>
  <si>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</si>
  <si>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</si>
  <si>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</si>
  <si>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</si>
  <si>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</si>
  <si>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</si>
  <si>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</si>
  <si>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</si>
  <si>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</si>
  <si>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</si>
  <si>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</si>
  <si>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</si>
  <si>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</si>
  <si>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</si>
  <si>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</si>
  <si>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</si>
  <si>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</si>
  <si>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</si>
  <si>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</si>
  <si>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</si>
  <si>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</si>
  <si>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</si>
  <si>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</si>
  <si>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</si>
  <si>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</si>
  <si>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</si>
  <si>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</si>
  <si>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</si>
  <si>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</si>
  <si>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</si>
  <si>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</si>
  <si>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</si>
  <si>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</si>
  <si>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</si>
  <si>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</si>
  <si>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</si>
  <si>
    <t xml:space="preserve">Event</t>
  </si>
  <si>
    <t xml:space="preserve">Date</t>
  </si>
  <si>
    <t xml:space="preserve">End date</t>
  </si>
  <si>
    <t xml:space="preserve">Time</t>
  </si>
  <si>
    <t xml:space="preserve">Family friendly</t>
  </si>
  <si>
    <t xml:space="preserve">Booking note</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</si>
  <si>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</si>
  <si>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</si>
  <si>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</si>
  <si>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</si>
  <si>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</si>
  <si>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</si>
  <si>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</si>
  <si>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</si>
  <si>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</si>
  <si>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</si>
  <si>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</si>
  <si>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</si>
  <si>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</si>
  <si>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Thursday 31 December</t>
  </si>
  <si>
    <t xml:space="preserve">New Year's Eve BBQ.</t>
  </si>
  <si>
    <t xml:space="preserve">Mexican Dave is on the grill, with plenty of Mexican flavours on the go. There may even be the odd frozen margarita behind the bar. Please book.</t>
  </si>
  <si>
    <t xml:space="preserve">Smoked brisket | Creamy mac and cheese | Burgers and sausages with caramelised onions | Frozen margaritas behind the bar, maybe</t>
  </si>
  <si>
    <t xml:space="preserve">Call to book</t>
  </si>
  <si>
    <t xml:space="preserve">tel:01765677198</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</si>
</sst>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2" t="s">
        <v>34</v>
      </c>
    </row>
    <row r="40" customFormat="false" ht="15" hidden="false" customHeight="false" outlineLevel="0" collapsed="false">
      <c r="A40" s="2"/>
    </row>
    <row r="41" customFormat="false" ht="15" hidden="false" customHeight="false" outlineLevel="0" collapsed="false">
      <c r="A41" s="3" t="s">
        <v>35</v>
      </c>
    </row>
    <row r="42" customFormat="false" ht="15" hidden="false" customHeight="false" outlineLevel="0" collapsed="false">
      <c r="A42" s="2" t="s">
        <v>36</v>
      </c>
    </row>
    <row r="43" customFormat="false" ht="15" hidden="false" customHeight="false" outlineLevel="0" collapsed="false">
      <c r="A43" s="2"/>
    </row>
    <row r="44" customFormat="false" ht="15" hidden="false" customHeight="false" outlineLevel="0" collapsed="false">
      <c r="A44" s="3" t="s">
        <v>37</v>
      </c>
    </row>
    <row r="45" customFormat="false" ht="15" hidden="false" customHeight="false" outlineLevel="0" collapsed="false">
      <c r="A45" s="2" t="s">
        <v>38</v>
      </c>
    </row>
    <row r="46" customFormat="false" ht="23.85" hidden="false" customHeight="false" outlineLevel="0" collapsed="false">
      <c r="A46" s="2" t="s">
        <v>39</v>
      </c>
    </row>
    <row r="47" customFormat="false" ht="23.85" hidden="false" customHeight="false" outlineLevel="0" collapsed="false">
      <c r="A47" s="2" t="s">
        <v>40</v>
      </c>
    </row>
    <row r="48" customFormat="false" ht="15" hidden="false" customHeight="false" outlineLevel="0" collapsed="false">
      <c r="A48" s="2" t="s">
        <v>41</v>
      </c>
    </row>
    <row r="49" customFormat="false" ht="15" hidden="false" customHeight="false" outlineLevel="0" collapsed="false">
      <c r="A49" s="2"/>
    </row>
    <row r="50" customFormat="false" ht="15" hidden="false" customHeight="false" outlineLevel="0" collapsed="false">
      <c r="A50" s="3" t="s">
        <v>42</v>
      </c>
    </row>
    <row r="51" customFormat="false" ht="46.25" hidden="false" customHeight="false" outlineLevel="0" collapsed="false">
      <c r="A51" s="2"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44</v>
      </c>
      <c r="B1" s="4" t="s">
        <v>45</v>
      </c>
      <c r="C1" s="4" t="s">
        <v>46</v>
      </c>
      <c r="D1" s="4" t="s">
        <v>47</v>
      </c>
      <c r="E1" s="4" t="s">
        <v>48</v>
      </c>
      <c r="F1" s="4" t="s">
        <v>49</v>
      </c>
      <c r="G1" s="4" t="s">
        <v>50</v>
      </c>
      <c r="H1" s="4" t="s">
        <v>51</v>
      </c>
      <c r="I1" s="4" t="s">
        <v>52</v>
      </c>
      <c r="J1" s="4" t="s">
        <v>53</v>
      </c>
      <c r="K1" s="4" t="s">
        <v>54</v>
      </c>
      <c r="L1" s="4" t="s">
        <v>55</v>
      </c>
      <c r="M1" s="4" t="s">
        <v>56</v>
      </c>
      <c r="N1" s="4" t="s">
        <v>57</v>
      </c>
    </row>
    <row r="2" customFormat="false" ht="15" hidden="false" customHeight="false" outlineLevel="0" collapsed="false">
      <c r="A2" s="5" t="s">
        <v>58</v>
      </c>
      <c r="B2" s="5"/>
      <c r="C2" s="6"/>
      <c r="D2" s="6"/>
      <c r="E2" s="6"/>
      <c r="F2" s="6"/>
      <c r="G2" s="5"/>
      <c r="H2" s="5" t="s">
        <v>59</v>
      </c>
      <c r="I2" s="5"/>
      <c r="J2" s="7"/>
      <c r="K2" s="7"/>
      <c r="L2" s="7"/>
      <c r="M2" s="5" t="s">
        <v>60</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61</v>
      </c>
      <c r="B3" s="5"/>
      <c r="C3" s="6" t="n">
        <v>0.708333333333333</v>
      </c>
      <c r="D3" s="6" t="n">
        <v>0.916666666666667</v>
      </c>
      <c r="E3" s="6"/>
      <c r="F3" s="6"/>
      <c r="G3" s="5"/>
      <c r="H3" s="5"/>
      <c r="I3" s="5" t="s">
        <v>62</v>
      </c>
      <c r="J3" s="7"/>
      <c r="K3" s="7"/>
      <c r="L3" s="7"/>
      <c r="M3" s="5" t="s">
        <v>60</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63</v>
      </c>
      <c r="B4" s="5"/>
      <c r="C4" s="6" t="n">
        <v>0.708333333333333</v>
      </c>
      <c r="D4" s="6"/>
      <c r="E4" s="6" t="n">
        <v>0.708333333333333</v>
      </c>
      <c r="F4" s="6" t="n">
        <v>0.833333333333333</v>
      </c>
      <c r="G4" s="5" t="s">
        <v>64</v>
      </c>
      <c r="H4" s="5"/>
      <c r="I4" s="5" t="s">
        <v>65</v>
      </c>
      <c r="J4" s="7"/>
      <c r="K4" s="7"/>
      <c r="L4" s="7"/>
      <c r="M4" s="5" t="s">
        <v>60</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66</v>
      </c>
      <c r="B5" s="5"/>
      <c r="C5" s="6" t="n">
        <v>0.625</v>
      </c>
      <c r="D5" s="6"/>
      <c r="E5" s="6" t="n">
        <v>0.708333333333333</v>
      </c>
      <c r="F5" s="6" t="n">
        <v>0.833333333333333</v>
      </c>
      <c r="G5" s="5" t="s">
        <v>64</v>
      </c>
      <c r="H5" s="5"/>
      <c r="I5" s="5"/>
      <c r="J5" s="7"/>
      <c r="K5" s="7"/>
      <c r="L5" s="7"/>
      <c r="M5" s="5" t="s">
        <v>60</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67</v>
      </c>
      <c r="B6" s="5"/>
      <c r="C6" s="6" t="n">
        <v>0.625</v>
      </c>
      <c r="D6" s="6" t="n">
        <v>0.958333333333333</v>
      </c>
      <c r="E6" s="6" t="n">
        <v>0.708333333333333</v>
      </c>
      <c r="F6" s="6" t="n">
        <v>0.833333333333333</v>
      </c>
      <c r="G6" s="5" t="s">
        <v>64</v>
      </c>
      <c r="H6" s="5"/>
      <c r="I6" s="5"/>
      <c r="J6" s="7"/>
      <c r="K6" s="7"/>
      <c r="L6" s="7"/>
      <c r="M6" s="5" t="s">
        <v>60</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68</v>
      </c>
      <c r="B7" s="5"/>
      <c r="C7" s="6" t="n">
        <v>0.5</v>
      </c>
      <c r="D7" s="6" t="n">
        <v>0.833333333333333</v>
      </c>
      <c r="E7" s="6"/>
      <c r="F7" s="6"/>
      <c r="G7" s="5"/>
      <c r="H7" s="5"/>
      <c r="I7" s="5"/>
      <c r="J7" s="7"/>
      <c r="K7" s="7"/>
      <c r="L7" s="7"/>
      <c r="M7" s="5" t="s">
        <v>60</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68</v>
      </c>
      <c r="B8" s="5" t="s">
        <v>69</v>
      </c>
      <c r="C8" s="6" t="n">
        <v>0.5</v>
      </c>
      <c r="D8" s="6" t="n">
        <v>0.833333333333333</v>
      </c>
      <c r="E8" s="6" t="n">
        <v>0.5</v>
      </c>
      <c r="F8" s="6" t="n">
        <v>0.708333333333333</v>
      </c>
      <c r="G8" s="5" t="s">
        <v>70</v>
      </c>
      <c r="H8" s="5"/>
      <c r="I8" s="5"/>
      <c r="J8" s="7"/>
      <c r="K8" s="7"/>
      <c r="L8" s="7"/>
      <c r="M8" s="5" t="s">
        <v>60</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66</v>
      </c>
      <c r="B9" s="5"/>
      <c r="C9" s="6" t="n">
        <v>0.458333333333333</v>
      </c>
      <c r="D9" s="6" t="n">
        <v>0.583333333333333</v>
      </c>
      <c r="E9" s="6"/>
      <c r="F9" s="6"/>
      <c r="G9" s="5"/>
      <c r="H9" s="5"/>
      <c r="I9" s="5" t="s">
        <v>71</v>
      </c>
      <c r="J9" s="7" t="n">
        <v>46381</v>
      </c>
      <c r="K9" s="7" t="n">
        <v>46381</v>
      </c>
      <c r="L9" s="7"/>
      <c r="M9" s="5" t="s">
        <v>60</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63</v>
      </c>
      <c r="B10" s="5"/>
      <c r="C10" s="6" t="n">
        <v>0.708333333333333</v>
      </c>
      <c r="D10" s="6"/>
      <c r="E10" s="6"/>
      <c r="F10" s="6"/>
      <c r="G10" s="5"/>
      <c r="H10" s="5"/>
      <c r="I10" s="5" t="s">
        <v>72</v>
      </c>
      <c r="J10" s="7" t="n">
        <v>46387</v>
      </c>
      <c r="K10" s="7" t="n">
        <v>46387</v>
      </c>
      <c r="L10" s="7"/>
      <c r="M10" s="5" t="s">
        <v>60</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63</v>
      </c>
      <c r="B11" s="5"/>
      <c r="C11" s="6" t="n">
        <v>0.5</v>
      </c>
      <c r="D11" s="6" t="n">
        <v>0.625</v>
      </c>
      <c r="E11" s="6"/>
      <c r="F11" s="6"/>
      <c r="G11" s="5"/>
      <c r="H11" s="5"/>
      <c r="I11" s="5" t="s">
        <v>73</v>
      </c>
      <c r="J11" s="7" t="n">
        <v>46380</v>
      </c>
      <c r="K11" s="7" t="n">
        <v>46380</v>
      </c>
      <c r="L11" s="7" t="n">
        <v>46357</v>
      </c>
      <c r="M11" s="5" t="s">
        <v>74</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75</v>
      </c>
      <c r="B1" s="4" t="s">
        <v>76</v>
      </c>
      <c r="C1" s="4" t="s">
        <v>77</v>
      </c>
      <c r="D1" s="4" t="s">
        <v>78</v>
      </c>
      <c r="E1" s="4" t="s">
        <v>79</v>
      </c>
      <c r="F1" s="4" t="s">
        <v>80</v>
      </c>
      <c r="G1" s="4" t="s">
        <v>81</v>
      </c>
      <c r="H1" s="4" t="s">
        <v>82</v>
      </c>
      <c r="I1" s="4" t="s">
        <v>83</v>
      </c>
      <c r="J1" s="4" t="s">
        <v>44</v>
      </c>
      <c r="K1" s="4" t="s">
        <v>56</v>
      </c>
      <c r="L1" s="4" t="s">
        <v>57</v>
      </c>
    </row>
    <row r="2" customFormat="false" ht="15" hidden="false" customHeight="false" outlineLevel="0" collapsed="false">
      <c r="A2" s="5"/>
      <c r="B2" s="5" t="s">
        <v>84</v>
      </c>
      <c r="C2" s="5" t="s">
        <v>85</v>
      </c>
      <c r="D2" s="9" t="n">
        <v>9.95</v>
      </c>
      <c r="E2" s="5"/>
      <c r="F2" s="5" t="s">
        <v>86</v>
      </c>
      <c r="G2" s="5" t="s">
        <v>59</v>
      </c>
      <c r="H2" s="7"/>
      <c r="I2" s="7" t="n">
        <v>46386</v>
      </c>
      <c r="J2" s="5"/>
      <c r="K2" s="5" t="s">
        <v>60</v>
      </c>
      <c r="L2" s="8" t="str">
        <f aca="true">IF(B2&amp;C2="","",IF(K2="Hidden","Hidden",IF(AND(H2&lt;&gt;"",H2&gt;TODAY()),"Scheduled",IF(AND(I2&lt;&gt;"",I2&lt;TODAY()),"Expired","Showing"))))</f>
        <v>Showing</v>
      </c>
    </row>
    <row r="3" customFormat="false" ht="15" hidden="false" customHeight="false" outlineLevel="0" collapsed="false">
      <c r="A3" s="5"/>
      <c r="B3" s="5" t="s">
        <v>84</v>
      </c>
      <c r="C3" s="5" t="s">
        <v>85</v>
      </c>
      <c r="D3" s="9" t="n">
        <v>9.95</v>
      </c>
      <c r="E3" s="5"/>
      <c r="F3" s="5" t="s">
        <v>86</v>
      </c>
      <c r="G3" s="5" t="s">
        <v>59</v>
      </c>
      <c r="H3" s="7" t="n">
        <v>46388</v>
      </c>
      <c r="I3" s="7"/>
      <c r="J3" s="5"/>
      <c r="K3" s="5" t="s">
        <v>60</v>
      </c>
      <c r="L3" s="8" t="str">
        <f aca="true">IF(B3&amp;C3="","",IF(K3="Hidden","Hidden",IF(AND(H3&lt;&gt;"",H3&gt;TODAY()),"Scheduled",IF(AND(I3&lt;&gt;"",I3&lt;TODAY()),"Expired","Showing"))))</f>
        <v>Scheduled</v>
      </c>
    </row>
    <row r="4" customFormat="false" ht="23.85" hidden="false" customHeight="false" outlineLevel="0" collapsed="false">
      <c r="A4" s="5"/>
      <c r="B4" s="5" t="s">
        <v>87</v>
      </c>
      <c r="C4" s="5" t="s">
        <v>88</v>
      </c>
      <c r="D4" s="9"/>
      <c r="E4" s="5"/>
      <c r="F4" s="5" t="s">
        <v>86</v>
      </c>
      <c r="G4" s="5" t="s">
        <v>59</v>
      </c>
      <c r="H4" s="7" t="n">
        <v>46304</v>
      </c>
      <c r="I4" s="7" t="n">
        <v>46305</v>
      </c>
      <c r="J4" s="5"/>
      <c r="K4" s="5" t="s">
        <v>60</v>
      </c>
      <c r="L4" s="8" t="str">
        <f aca="true">IF(B4&amp;C4="","",IF(K4="Hidden","Hidden",IF(AND(H4&lt;&gt;"",H4&gt;TODAY()),"Scheduled",IF(AND(I4&lt;&gt;"",I4&lt;TODAY()),"Expired","Showing"))))</f>
        <v>Showing</v>
      </c>
    </row>
    <row r="5" customFormat="false" ht="23.85" hidden="false" customHeight="false" outlineLevel="0" collapsed="false">
      <c r="A5" s="5"/>
      <c r="B5" s="5" t="s">
        <v>89</v>
      </c>
      <c r="C5" s="5" t="s">
        <v>90</v>
      </c>
      <c r="D5" s="9"/>
      <c r="E5" s="5"/>
      <c r="F5" s="5" t="s">
        <v>86</v>
      </c>
      <c r="G5" s="5" t="s">
        <v>59</v>
      </c>
      <c r="H5" s="7" t="n">
        <v>46304</v>
      </c>
      <c r="I5" s="7" t="n">
        <v>46387</v>
      </c>
      <c r="J5" s="5"/>
      <c r="K5" s="5" t="s">
        <v>60</v>
      </c>
      <c r="L5" s="8" t="str">
        <f aca="true">IF(B5&amp;C5="","",IF(K5="Hidden","Hidden",IF(AND(H5&lt;&gt;"",H5&gt;TODAY()),"Scheduled",IF(AND(I5&lt;&gt;"",I5&lt;TODAY()),"Expired","Showing"))))</f>
        <v>Showing</v>
      </c>
    </row>
    <row r="6" customFormat="false" ht="23.85" hidden="false" customHeight="false" outlineLevel="0" collapsed="false">
      <c r="A6" s="5" t="s">
        <v>91</v>
      </c>
      <c r="B6" s="5" t="s">
        <v>92</v>
      </c>
      <c r="C6" s="5" t="s">
        <v>93</v>
      </c>
      <c r="D6" s="9" t="n">
        <v>14.95</v>
      </c>
      <c r="E6" s="5"/>
      <c r="F6" s="5" t="s">
        <v>86</v>
      </c>
      <c r="G6" s="5"/>
      <c r="H6" s="7"/>
      <c r="I6" s="7"/>
      <c r="J6" s="5"/>
      <c r="K6" s="5" t="s">
        <v>60</v>
      </c>
      <c r="L6" s="8" t="str">
        <f aca="true">IF(B6&amp;C6="","",IF(K6="Hidden","Hidden",IF(AND(H6&lt;&gt;"",H6&gt;TODAY()),"Scheduled",IF(AND(I6&lt;&gt;"",I6&lt;TODAY()),"Expired","Showing"))))</f>
        <v>Showing</v>
      </c>
    </row>
    <row r="7" customFormat="false" ht="15" hidden="false" customHeight="false" outlineLevel="0" collapsed="false">
      <c r="A7" s="5" t="s">
        <v>91</v>
      </c>
      <c r="B7" s="5" t="s">
        <v>94</v>
      </c>
      <c r="C7" s="5" t="s">
        <v>95</v>
      </c>
      <c r="D7" s="9" t="n">
        <v>13.95</v>
      </c>
      <c r="E7" s="5"/>
      <c r="F7" s="5" t="s">
        <v>86</v>
      </c>
      <c r="G7" s="5"/>
      <c r="H7" s="7"/>
      <c r="I7" s="7"/>
      <c r="J7" s="5"/>
      <c r="K7" s="5" t="s">
        <v>60</v>
      </c>
      <c r="L7" s="8" t="str">
        <f aca="true">IF(B7&amp;C7="","",IF(K7="Hidden","Hidden",IF(AND(H7&lt;&gt;"",H7&gt;TODAY()),"Scheduled",IF(AND(I7&lt;&gt;"",I7&lt;TODAY()),"Expired","Showing"))))</f>
        <v>Showing</v>
      </c>
    </row>
    <row r="8" customFormat="false" ht="15" hidden="false" customHeight="false" outlineLevel="0" collapsed="false">
      <c r="A8" s="5" t="s">
        <v>91</v>
      </c>
      <c r="B8" s="5" t="s">
        <v>96</v>
      </c>
      <c r="C8" s="5" t="s">
        <v>97</v>
      </c>
      <c r="D8" s="9" t="n">
        <v>13.95</v>
      </c>
      <c r="E8" s="5"/>
      <c r="F8" s="5" t="s">
        <v>86</v>
      </c>
      <c r="G8" s="5"/>
      <c r="H8" s="7"/>
      <c r="I8" s="7"/>
      <c r="J8" s="5"/>
      <c r="K8" s="5" t="s">
        <v>60</v>
      </c>
      <c r="L8" s="8" t="str">
        <f aca="true">IF(B8&amp;C8="","",IF(K8="Hidden","Hidden",IF(AND(H8&lt;&gt;"",H8&gt;TODAY()),"Scheduled",IF(AND(I8&lt;&gt;"",I8&lt;TODAY()),"Expired","Showing"))))</f>
        <v>Showing</v>
      </c>
    </row>
    <row r="9" customFormat="false" ht="15" hidden="false" customHeight="false" outlineLevel="0" collapsed="false">
      <c r="A9" s="5" t="s">
        <v>91</v>
      </c>
      <c r="B9" s="5" t="s">
        <v>98</v>
      </c>
      <c r="C9" s="5" t="s">
        <v>99</v>
      </c>
      <c r="D9" s="9" t="n">
        <v>13.95</v>
      </c>
      <c r="E9" s="5"/>
      <c r="F9" s="5" t="s">
        <v>86</v>
      </c>
      <c r="G9" s="5"/>
      <c r="H9" s="7"/>
      <c r="I9" s="7"/>
      <c r="J9" s="5"/>
      <c r="K9" s="5" t="s">
        <v>60</v>
      </c>
      <c r="L9" s="8" t="str">
        <f aca="true">IF(B9&amp;C9="","",IF(K9="Hidden","Hidden",IF(AND(H9&lt;&gt;"",H9&gt;TODAY()),"Scheduled",IF(AND(I9&lt;&gt;"",I9&lt;TODAY()),"Expired","Showing"))))</f>
        <v>Showing</v>
      </c>
    </row>
    <row r="10" customFormat="false" ht="15" hidden="false" customHeight="false" outlineLevel="0" collapsed="false">
      <c r="A10" s="5" t="s">
        <v>91</v>
      </c>
      <c r="B10" s="5" t="s">
        <v>100</v>
      </c>
      <c r="C10" s="5"/>
      <c r="D10" s="9" t="n">
        <v>11.95</v>
      </c>
      <c r="E10" s="5"/>
      <c r="F10" s="5" t="s">
        <v>86</v>
      </c>
      <c r="G10" s="5"/>
      <c r="H10" s="7"/>
      <c r="I10" s="7"/>
      <c r="J10" s="5"/>
      <c r="K10" s="5" t="s">
        <v>60</v>
      </c>
      <c r="L10" s="8" t="str">
        <f aca="true">IF(B10&amp;C10="","",IF(K10="Hidden","Hidden",IF(AND(H10&lt;&gt;"",H10&gt;TODAY()),"Scheduled",IF(AND(I10&lt;&gt;"",I10&lt;TODAY()),"Expired","Showing"))))</f>
        <v>Showing</v>
      </c>
    </row>
    <row r="11" customFormat="false" ht="15" hidden="false" customHeight="false" outlineLevel="0" collapsed="false">
      <c r="A11" s="5" t="s">
        <v>101</v>
      </c>
      <c r="B11" s="5" t="s">
        <v>102</v>
      </c>
      <c r="C11" s="5" t="s">
        <v>103</v>
      </c>
      <c r="D11" s="9" t="n">
        <v>10.95</v>
      </c>
      <c r="E11" s="5" t="s">
        <v>104</v>
      </c>
      <c r="F11" s="5" t="s">
        <v>86</v>
      </c>
      <c r="G11" s="5"/>
      <c r="H11" s="7"/>
      <c r="I11" s="7"/>
      <c r="J11" s="5"/>
      <c r="K11" s="5" t="s">
        <v>60</v>
      </c>
      <c r="L11" s="8" t="str">
        <f aca="true">IF(B11&amp;C11="","",IF(K11="Hidden","Hidden",IF(AND(H11&lt;&gt;"",H11&gt;TODAY()),"Scheduled",IF(AND(I11&lt;&gt;"",I11&lt;TODAY()),"Expired","Showing"))))</f>
        <v>Showing</v>
      </c>
    </row>
    <row r="12" customFormat="false" ht="23.85" hidden="false" customHeight="false" outlineLevel="0" collapsed="false">
      <c r="A12" s="5" t="s">
        <v>101</v>
      </c>
      <c r="B12" s="5" t="s">
        <v>105</v>
      </c>
      <c r="C12" s="5" t="s">
        <v>106</v>
      </c>
      <c r="D12" s="9" t="n">
        <v>13.95</v>
      </c>
      <c r="E12" s="5" t="s">
        <v>104</v>
      </c>
      <c r="F12" s="5" t="s">
        <v>86</v>
      </c>
      <c r="G12" s="5"/>
      <c r="H12" s="7"/>
      <c r="I12" s="7"/>
      <c r="J12" s="5"/>
      <c r="K12" s="5" t="s">
        <v>60</v>
      </c>
      <c r="L12" s="8" t="str">
        <f aca="true">IF(B12&amp;C12="","",IF(K12="Hidden","Hidden",IF(AND(H12&lt;&gt;"",H12&gt;TODAY()),"Scheduled",IF(AND(I12&lt;&gt;"",I12&lt;TODAY()),"Expired","Showing"))))</f>
        <v>Showing</v>
      </c>
    </row>
    <row r="13" customFormat="false" ht="15" hidden="false" customHeight="false" outlineLevel="0" collapsed="false">
      <c r="A13" s="5" t="s">
        <v>107</v>
      </c>
      <c r="B13" s="5"/>
      <c r="C13" s="5" t="s">
        <v>108</v>
      </c>
      <c r="D13" s="9"/>
      <c r="E13" s="5"/>
      <c r="F13" s="5" t="s">
        <v>86</v>
      </c>
      <c r="G13" s="5"/>
      <c r="H13" s="7"/>
      <c r="I13" s="7"/>
      <c r="J13" s="5"/>
      <c r="K13" s="5" t="s">
        <v>60</v>
      </c>
      <c r="L13" s="8" t="str">
        <f aca="true">IF(B13&amp;C13="","",IF(K13="Hidden","Hidden",IF(AND(H13&lt;&gt;"",H13&gt;TODAY()),"Scheduled",IF(AND(I13&lt;&gt;"",I13&lt;TODAY()),"Expired","Showing"))))</f>
        <v>Showing</v>
      </c>
    </row>
    <row r="14" customFormat="false" ht="15" hidden="false" customHeight="false" outlineLevel="0" collapsed="false">
      <c r="A14" s="5" t="s">
        <v>107</v>
      </c>
      <c r="B14" s="5" t="s">
        <v>109</v>
      </c>
      <c r="C14" s="5"/>
      <c r="D14" s="9" t="n">
        <v>13.95</v>
      </c>
      <c r="E14" s="5"/>
      <c r="F14" s="5" t="s">
        <v>86</v>
      </c>
      <c r="G14" s="5"/>
      <c r="H14" s="7"/>
      <c r="I14" s="7"/>
      <c r="J14" s="5"/>
      <c r="K14" s="5" t="s">
        <v>60</v>
      </c>
      <c r="L14" s="8" t="str">
        <f aca="true">IF(B14&amp;C14="","",IF(K14="Hidden","Hidden",IF(AND(H14&lt;&gt;"",H14&gt;TODAY()),"Scheduled",IF(AND(I14&lt;&gt;"",I14&lt;TODAY()),"Expired","Showing"))))</f>
        <v>Showing</v>
      </c>
    </row>
    <row r="15" customFormat="false" ht="15" hidden="false" customHeight="false" outlineLevel="0" collapsed="false">
      <c r="A15" s="5" t="s">
        <v>107</v>
      </c>
      <c r="B15" s="5" t="s">
        <v>110</v>
      </c>
      <c r="C15" s="5"/>
      <c r="D15" s="9" t="n">
        <v>14.95</v>
      </c>
      <c r="E15" s="5"/>
      <c r="F15" s="5" t="s">
        <v>86</v>
      </c>
      <c r="G15" s="5"/>
      <c r="H15" s="7"/>
      <c r="I15" s="7"/>
      <c r="J15" s="5"/>
      <c r="K15" s="5" t="s">
        <v>60</v>
      </c>
      <c r="L15" s="8" t="str">
        <f aca="true">IF(B15&amp;C15="","",IF(K15="Hidden","Hidden",IF(AND(H15&lt;&gt;"",H15&gt;TODAY()),"Scheduled",IF(AND(I15&lt;&gt;"",I15&lt;TODAY()),"Expired","Showing"))))</f>
        <v>Showing</v>
      </c>
    </row>
    <row r="16" customFormat="false" ht="15" hidden="false" customHeight="false" outlineLevel="0" collapsed="false">
      <c r="A16" s="5" t="s">
        <v>107</v>
      </c>
      <c r="B16" s="5" t="s">
        <v>111</v>
      </c>
      <c r="C16" s="5"/>
      <c r="D16" s="9" t="n">
        <v>14.5</v>
      </c>
      <c r="E16" s="5"/>
      <c r="F16" s="5" t="s">
        <v>86</v>
      </c>
      <c r="G16" s="5"/>
      <c r="H16" s="7"/>
      <c r="I16" s="7"/>
      <c r="J16" s="5"/>
      <c r="K16" s="5" t="s">
        <v>60</v>
      </c>
      <c r="L16" s="8" t="str">
        <f aca="true">IF(B16&amp;C16="","",IF(K16="Hidden","Hidden",IF(AND(H16&lt;&gt;"",H16&gt;TODAY()),"Scheduled",IF(AND(I16&lt;&gt;"",I16&lt;TODAY()),"Expired","Showing"))))</f>
        <v>Showing</v>
      </c>
    </row>
    <row r="17" customFormat="false" ht="15" hidden="false" customHeight="false" outlineLevel="0" collapsed="false">
      <c r="A17" s="5" t="s">
        <v>107</v>
      </c>
      <c r="B17" s="5" t="s">
        <v>112</v>
      </c>
      <c r="C17" s="5"/>
      <c r="D17" s="9" t="n">
        <v>15.95</v>
      </c>
      <c r="E17" s="5"/>
      <c r="F17" s="5" t="s">
        <v>86</v>
      </c>
      <c r="G17" s="5"/>
      <c r="H17" s="7"/>
      <c r="I17" s="7"/>
      <c r="J17" s="5"/>
      <c r="K17" s="5" t="s">
        <v>60</v>
      </c>
      <c r="L17" s="8" t="str">
        <f aca="true">IF(B17&amp;C17="","",IF(K17="Hidden","Hidden",IF(AND(H17&lt;&gt;"",H17&gt;TODAY()),"Scheduled",IF(AND(I17&lt;&gt;"",I17&lt;TODAY()),"Expired","Showing"))))</f>
        <v>Showing</v>
      </c>
    </row>
    <row r="18" customFormat="false" ht="15" hidden="false" customHeight="false" outlineLevel="0" collapsed="false">
      <c r="A18" s="5" t="s">
        <v>107</v>
      </c>
      <c r="B18" s="5" t="s">
        <v>113</v>
      </c>
      <c r="C18" s="5" t="s">
        <v>114</v>
      </c>
      <c r="D18" s="9" t="n">
        <v>16.95</v>
      </c>
      <c r="E18" s="5"/>
      <c r="F18" s="5" t="s">
        <v>86</v>
      </c>
      <c r="G18" s="5"/>
      <c r="H18" s="7"/>
      <c r="I18" s="7"/>
      <c r="J18" s="5"/>
      <c r="K18" s="5" t="s">
        <v>60</v>
      </c>
      <c r="L18" s="8" t="str">
        <f aca="true">IF(B18&amp;C18="","",IF(K18="Hidden","Hidden",IF(AND(H18&lt;&gt;"",H18&gt;TODAY()),"Scheduled",IF(AND(I18&lt;&gt;"",I18&lt;TODAY()),"Expired","Showing"))))</f>
        <v>Showing</v>
      </c>
    </row>
    <row r="19" customFormat="false" ht="15" hidden="false" customHeight="false" outlineLevel="0" collapsed="false">
      <c r="A19" s="5" t="s">
        <v>115</v>
      </c>
      <c r="B19" s="5" t="s">
        <v>116</v>
      </c>
      <c r="C19" s="5"/>
      <c r="D19" s="9" t="n">
        <v>5.95</v>
      </c>
      <c r="E19" s="5"/>
      <c r="F19" s="5" t="s">
        <v>86</v>
      </c>
      <c r="G19" s="5"/>
      <c r="H19" s="7"/>
      <c r="I19" s="7"/>
      <c r="J19" s="5"/>
      <c r="K19" s="5" t="s">
        <v>60</v>
      </c>
      <c r="L19" s="8" t="str">
        <f aca="true">IF(B19&amp;C19="","",IF(K19="Hidden","Hidden",IF(AND(H19&lt;&gt;"",H19&gt;TODAY()),"Scheduled",IF(AND(I19&lt;&gt;"",I19&lt;TODAY()),"Expired","Showing"))))</f>
        <v>Showing</v>
      </c>
    </row>
    <row r="20" customFormat="false" ht="15" hidden="false" customHeight="false" outlineLevel="0" collapsed="false">
      <c r="A20" s="5" t="s">
        <v>115</v>
      </c>
      <c r="B20" s="5" t="s">
        <v>117</v>
      </c>
      <c r="C20" s="5"/>
      <c r="D20" s="9" t="n">
        <v>5.95</v>
      </c>
      <c r="E20" s="5"/>
      <c r="F20" s="5" t="s">
        <v>86</v>
      </c>
      <c r="G20" s="5"/>
      <c r="H20" s="7"/>
      <c r="I20" s="7"/>
      <c r="J20" s="5"/>
      <c r="K20" s="5" t="s">
        <v>60</v>
      </c>
      <c r="L20" s="8" t="str">
        <f aca="true">IF(B20&amp;C20="","",IF(K20="Hidden","Hidden",IF(AND(H20&lt;&gt;"",H20&gt;TODAY()),"Scheduled",IF(AND(I20&lt;&gt;"",I20&lt;TODAY()),"Expired","Showing"))))</f>
        <v>Showing</v>
      </c>
    </row>
    <row r="21" customFormat="false" ht="15" hidden="false" customHeight="false" outlineLevel="0" collapsed="false">
      <c r="A21" s="5" t="s">
        <v>115</v>
      </c>
      <c r="B21" s="5" t="s">
        <v>118</v>
      </c>
      <c r="C21" s="5"/>
      <c r="D21" s="9" t="n">
        <v>5.95</v>
      </c>
      <c r="E21" s="5"/>
      <c r="F21" s="5" t="s">
        <v>86</v>
      </c>
      <c r="G21" s="5"/>
      <c r="H21" s="7"/>
      <c r="I21" s="7"/>
      <c r="J21" s="5"/>
      <c r="K21" s="5" t="s">
        <v>60</v>
      </c>
      <c r="L21" s="8" t="str">
        <f aca="true">IF(B21&amp;C21="","",IF(K21="Hidden","Hidden",IF(AND(H21&lt;&gt;"",H21&gt;TODAY()),"Scheduled",IF(AND(I21&lt;&gt;"",I21&lt;TODAY()),"Expired","Showing"))))</f>
        <v>Showing</v>
      </c>
    </row>
    <row r="22" customFormat="false" ht="15" hidden="false" customHeight="false" outlineLevel="0" collapsed="false">
      <c r="A22" s="5" t="s">
        <v>70</v>
      </c>
      <c r="B22" s="5" t="s">
        <v>119</v>
      </c>
      <c r="C22" s="5"/>
      <c r="D22" s="9"/>
      <c r="E22" s="5"/>
      <c r="F22" s="5" t="s">
        <v>120</v>
      </c>
      <c r="G22" s="5"/>
      <c r="H22" s="7"/>
      <c r="I22" s="7"/>
      <c r="J22" s="5"/>
      <c r="K22" s="5" t="s">
        <v>60</v>
      </c>
      <c r="L22" s="8" t="str">
        <f aca="true">IF(B22&amp;C22="","",IF(K22="Hidden","Hidden",IF(AND(H22&lt;&gt;"",H22&gt;TODAY()),"Scheduled",IF(AND(I22&lt;&gt;"",I22&lt;TODAY()),"Expired","Showing"))))</f>
        <v>Showing</v>
      </c>
    </row>
    <row r="23" customFormat="false" ht="15" hidden="false" customHeight="false" outlineLevel="0" collapsed="false">
      <c r="A23" s="5" t="s">
        <v>70</v>
      </c>
      <c r="B23" s="5" t="s">
        <v>121</v>
      </c>
      <c r="C23" s="5"/>
      <c r="D23" s="9"/>
      <c r="E23" s="5"/>
      <c r="F23" s="5" t="s">
        <v>120</v>
      </c>
      <c r="G23" s="5"/>
      <c r="H23" s="7"/>
      <c r="I23" s="7"/>
      <c r="J23" s="5"/>
      <c r="K23" s="5" t="s">
        <v>60</v>
      </c>
      <c r="L23" s="8" t="str">
        <f aca="true">IF(B23&amp;C23="","",IF(K23="Hidden","Hidden",IF(AND(H23&lt;&gt;"",H23&gt;TODAY()),"Scheduled",IF(AND(I23&lt;&gt;"",I23&lt;TODAY()),"Expired","Showing"))))</f>
        <v>Showing</v>
      </c>
    </row>
    <row r="24" customFormat="false" ht="15" hidden="false" customHeight="false" outlineLevel="0" collapsed="false">
      <c r="A24" s="5" t="s">
        <v>70</v>
      </c>
      <c r="B24" s="5" t="s">
        <v>122</v>
      </c>
      <c r="C24" s="5"/>
      <c r="D24" s="9"/>
      <c r="E24" s="5"/>
      <c r="F24" s="5" t="s">
        <v>120</v>
      </c>
      <c r="G24" s="5"/>
      <c r="H24" s="7"/>
      <c r="I24" s="7"/>
      <c r="J24" s="5"/>
      <c r="K24" s="5" t="s">
        <v>60</v>
      </c>
      <c r="L24" s="8" t="str">
        <f aca="true">IF(B24&amp;C24="","",IF(K24="Hidden","Hidden",IF(AND(H24&lt;&gt;"",H24&gt;TODAY()),"Scheduled",IF(AND(I24&lt;&gt;"",I24&lt;TODAY()),"Expired","Showing"))))</f>
        <v>Showing</v>
      </c>
    </row>
    <row r="25" customFormat="false" ht="15" hidden="false" customHeight="false" outlineLevel="0" collapsed="false">
      <c r="A25" s="5" t="s">
        <v>70</v>
      </c>
      <c r="B25" s="5" t="s">
        <v>123</v>
      </c>
      <c r="C25" s="5"/>
      <c r="D25" s="9"/>
      <c r="E25" s="5" t="s">
        <v>104</v>
      </c>
      <c r="F25" s="5" t="s">
        <v>120</v>
      </c>
      <c r="G25" s="5"/>
      <c r="H25" s="7"/>
      <c r="I25" s="7"/>
      <c r="J25" s="5"/>
      <c r="K25" s="5" t="s">
        <v>60</v>
      </c>
      <c r="L25" s="8" t="str">
        <f aca="true">IF(B25&amp;C25="","",IF(K25="Hidden","Hidden",IF(AND(H25&lt;&gt;"",H25&gt;TODAY()),"Scheduled",IF(AND(I25&lt;&gt;"",I25&lt;TODAY()),"Expired","Showing"))))</f>
        <v>Showing</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75</v>
      </c>
      <c r="B1" s="4" t="s">
        <v>76</v>
      </c>
      <c r="C1" s="4" t="s">
        <v>77</v>
      </c>
      <c r="D1" s="4" t="s">
        <v>78</v>
      </c>
      <c r="E1" s="4" t="s">
        <v>124</v>
      </c>
      <c r="F1" s="4" t="s">
        <v>125</v>
      </c>
      <c r="G1" s="4" t="s">
        <v>126</v>
      </c>
      <c r="H1" s="4" t="s">
        <v>127</v>
      </c>
      <c r="I1" s="4" t="s">
        <v>128</v>
      </c>
      <c r="J1" s="4" t="s">
        <v>82</v>
      </c>
      <c r="K1" s="4" t="s">
        <v>83</v>
      </c>
      <c r="L1" s="4" t="s">
        <v>44</v>
      </c>
      <c r="M1" s="4" t="s">
        <v>56</v>
      </c>
      <c r="N1" s="4" t="s">
        <v>57</v>
      </c>
    </row>
    <row r="2" customFormat="false" ht="23.85" hidden="false" customHeight="false" outlineLevel="0" collapsed="false">
      <c r="A2" s="5" t="s">
        <v>129</v>
      </c>
      <c r="B2" s="5" t="s">
        <v>130</v>
      </c>
      <c r="C2" s="5" t="s">
        <v>131</v>
      </c>
      <c r="D2" s="9"/>
      <c r="E2" s="9"/>
      <c r="F2" s="9"/>
      <c r="G2" s="9"/>
      <c r="H2" s="9"/>
      <c r="I2" s="5"/>
      <c r="J2" s="7"/>
      <c r="K2" s="7"/>
      <c r="L2" s="5"/>
      <c r="M2" s="5" t="s">
        <v>60</v>
      </c>
      <c r="N2" s="8" t="str">
        <f aca="true">IF(B2&amp;C2="","",IF(M2="Hidden","Hidden",IF(AND(J2&lt;&gt;"",J2&gt;TODAY()),"Scheduled",IF(AND(K2&lt;&gt;"",K2&lt;TODAY()),"Expired","Showing"))))</f>
        <v>Showing</v>
      </c>
    </row>
    <row r="3" customFormat="false" ht="15" hidden="false" customHeight="false" outlineLevel="0" collapsed="false">
      <c r="A3" s="5" t="s">
        <v>132</v>
      </c>
      <c r="B3" s="5" t="s">
        <v>133</v>
      </c>
      <c r="C3" s="5" t="s">
        <v>134</v>
      </c>
      <c r="D3" s="9"/>
      <c r="E3" s="9"/>
      <c r="F3" s="9"/>
      <c r="G3" s="9"/>
      <c r="H3" s="9"/>
      <c r="I3" s="5"/>
      <c r="J3" s="7"/>
      <c r="K3" s="7"/>
      <c r="L3" s="5"/>
      <c r="M3" s="5" t="s">
        <v>60</v>
      </c>
      <c r="N3" s="8" t="str">
        <f aca="true">IF(B3&amp;C3="","",IF(M3="Hidden","Hidden",IF(AND(J3&lt;&gt;"",J3&gt;TODAY()),"Scheduled",IF(AND(K3&lt;&gt;"",K3&lt;TODAY()),"Expired","Showing"))))</f>
        <v>Showing</v>
      </c>
    </row>
    <row r="4" customFormat="false" ht="15" hidden="false" customHeight="false" outlineLevel="0" collapsed="false">
      <c r="A4" s="5" t="s">
        <v>135</v>
      </c>
      <c r="B4" s="5" t="s">
        <v>136</v>
      </c>
      <c r="C4" s="5" t="s">
        <v>137</v>
      </c>
      <c r="D4" s="9"/>
      <c r="E4" s="9"/>
      <c r="F4" s="9"/>
      <c r="G4" s="9"/>
      <c r="H4" s="9"/>
      <c r="I4" s="5"/>
      <c r="J4" s="7"/>
      <c r="K4" s="7"/>
      <c r="L4" s="5"/>
      <c r="M4" s="5" t="s">
        <v>60</v>
      </c>
      <c r="N4" s="8" t="str">
        <f aca="true">IF(B4&amp;C4="","",IF(M4="Hidden","Hidden",IF(AND(J4&lt;&gt;"",J4&gt;TODAY()),"Scheduled",IF(AND(K4&lt;&gt;"",K4&lt;TODAY()),"Expired","Showing"))))</f>
        <v>Showing</v>
      </c>
    </row>
    <row r="5" customFormat="false" ht="23.85" hidden="false" customHeight="false" outlineLevel="0" collapsed="false">
      <c r="A5" s="5" t="s">
        <v>135</v>
      </c>
      <c r="B5" s="5" t="s">
        <v>138</v>
      </c>
      <c r="C5" s="5" t="s">
        <v>139</v>
      </c>
      <c r="D5" s="9"/>
      <c r="E5" s="9"/>
      <c r="F5" s="9"/>
      <c r="G5" s="9"/>
      <c r="H5" s="9"/>
      <c r="I5" s="5"/>
      <c r="J5" s="7"/>
      <c r="K5" s="7"/>
      <c r="L5" s="5"/>
      <c r="M5" s="5" t="s">
        <v>60</v>
      </c>
      <c r="N5" s="8" t="str">
        <f aca="true">IF(B5&amp;C5="","",IF(M5="Hidden","Hidden",IF(AND(J5&lt;&gt;"",J5&gt;TODAY()),"Scheduled",IF(AND(K5&lt;&gt;"",K5&lt;TODAY()),"Expired","Showing"))))</f>
        <v>Showing</v>
      </c>
    </row>
    <row r="6" customFormat="false" ht="23.85" hidden="false" customHeight="false" outlineLevel="0" collapsed="false">
      <c r="A6" s="5" t="s">
        <v>135</v>
      </c>
      <c r="B6" s="5" t="s">
        <v>140</v>
      </c>
      <c r="C6" s="5" t="s">
        <v>141</v>
      </c>
      <c r="D6" s="9"/>
      <c r="E6" s="9"/>
      <c r="F6" s="9"/>
      <c r="G6" s="9"/>
      <c r="H6" s="9"/>
      <c r="I6" s="5"/>
      <c r="J6" s="7"/>
      <c r="K6" s="7"/>
      <c r="L6" s="5"/>
      <c r="M6" s="5" t="s">
        <v>60</v>
      </c>
      <c r="N6" s="8" t="str">
        <f aca="true">IF(B6&amp;C6="","",IF(M6="Hidden","Hidden",IF(AND(J6&lt;&gt;"",J6&gt;TODAY()),"Scheduled",IF(AND(K6&lt;&gt;"",K6&lt;TODAY()),"Expired","Showing"))))</f>
        <v>Showing</v>
      </c>
    </row>
    <row r="7" customFormat="false" ht="23.85" hidden="false" customHeight="false" outlineLevel="0" collapsed="false">
      <c r="A7" s="5" t="s">
        <v>135</v>
      </c>
      <c r="B7" s="5" t="s">
        <v>142</v>
      </c>
      <c r="C7" s="5"/>
      <c r="D7" s="9"/>
      <c r="E7" s="9"/>
      <c r="F7" s="9"/>
      <c r="G7" s="9"/>
      <c r="H7" s="9"/>
      <c r="I7" s="5"/>
      <c r="J7" s="7"/>
      <c r="K7" s="7"/>
      <c r="L7" s="5"/>
      <c r="M7" s="5" t="s">
        <v>60</v>
      </c>
      <c r="N7" s="8" t="str">
        <f aca="true">IF(B7&amp;C7="","",IF(M7="Hidden","Hidden",IF(AND(J7&lt;&gt;"",J7&gt;TODAY()),"Scheduled",IF(AND(K7&lt;&gt;"",K7&lt;TODAY()),"Expired","Showing"))))</f>
        <v>Showing</v>
      </c>
    </row>
    <row r="8" customFormat="false" ht="23.85" hidden="false" customHeight="false" outlineLevel="0" collapsed="false">
      <c r="A8" s="5" t="s">
        <v>143</v>
      </c>
      <c r="B8" s="5" t="s">
        <v>144</v>
      </c>
      <c r="C8" s="5" t="s">
        <v>145</v>
      </c>
      <c r="D8" s="9"/>
      <c r="E8" s="9"/>
      <c r="F8" s="9"/>
      <c r="G8" s="9"/>
      <c r="H8" s="9"/>
      <c r="I8" s="5"/>
      <c r="J8" s="7"/>
      <c r="K8" s="7"/>
      <c r="L8" s="5"/>
      <c r="M8" s="5" t="s">
        <v>60</v>
      </c>
      <c r="N8" s="8" t="str">
        <f aca="true">IF(B8&amp;C8="","",IF(M8="Hidden","Hidden",IF(AND(J8&lt;&gt;"",J8&gt;TODAY()),"Scheduled",IF(AND(K8&lt;&gt;"",K8&lt;TODAY()),"Expired","Showing"))))</f>
        <v>Showing</v>
      </c>
    </row>
    <row r="9" customFormat="false" ht="15" hidden="false" customHeight="false" outlineLevel="0" collapsed="false">
      <c r="A9" s="5" t="s">
        <v>143</v>
      </c>
      <c r="B9" s="5" t="s">
        <v>146</v>
      </c>
      <c r="C9" s="5" t="s">
        <v>147</v>
      </c>
      <c r="D9" s="9"/>
      <c r="E9" s="9"/>
      <c r="F9" s="9"/>
      <c r="G9" s="9"/>
      <c r="H9" s="9"/>
      <c r="I9" s="5"/>
      <c r="J9" s="7"/>
      <c r="K9" s="7"/>
      <c r="L9" s="5"/>
      <c r="M9" s="5" t="s">
        <v>60</v>
      </c>
      <c r="N9" s="8" t="str">
        <f aca="true">IF(B9&amp;C9="","",IF(M9="Hidden","Hidden",IF(AND(J9&lt;&gt;"",J9&gt;TODAY()),"Scheduled",IF(AND(K9&lt;&gt;"",K9&lt;TODAY()),"Expired","Showing"))))</f>
        <v>Showing</v>
      </c>
    </row>
    <row r="10" customFormat="false" ht="15" hidden="false" customHeight="false" outlineLevel="0" collapsed="false">
      <c r="A10" s="5" t="s">
        <v>143</v>
      </c>
      <c r="B10" s="5" t="s">
        <v>148</v>
      </c>
      <c r="C10" s="5" t="s">
        <v>149</v>
      </c>
      <c r="D10" s="9"/>
      <c r="E10" s="9"/>
      <c r="F10" s="9"/>
      <c r="G10" s="9"/>
      <c r="H10" s="9"/>
      <c r="I10" s="5"/>
      <c r="J10" s="7"/>
      <c r="K10" s="7"/>
      <c r="L10" s="5"/>
      <c r="M10" s="5" t="s">
        <v>60</v>
      </c>
      <c r="N10" s="8" t="str">
        <f aca="true">IF(B10&amp;C10="","",IF(M10="Hidden","Hidden",IF(AND(J10&lt;&gt;"",J10&gt;TODAY()),"Scheduled",IF(AND(K10&lt;&gt;"",K10&lt;TODAY()),"Expired","Showing"))))</f>
        <v>Showing</v>
      </c>
    </row>
    <row r="11" customFormat="false" ht="23.85" hidden="false" customHeight="false" outlineLevel="0" collapsed="false">
      <c r="A11" s="5" t="s">
        <v>143</v>
      </c>
      <c r="B11" s="5" t="s">
        <v>150</v>
      </c>
      <c r="C11" s="5" t="s">
        <v>151</v>
      </c>
      <c r="D11" s="9"/>
      <c r="E11" s="9"/>
      <c r="F11" s="9"/>
      <c r="G11" s="9"/>
      <c r="H11" s="9"/>
      <c r="I11" s="5"/>
      <c r="J11" s="7"/>
      <c r="K11" s="7"/>
      <c r="L11" s="5"/>
      <c r="M11" s="5" t="s">
        <v>60</v>
      </c>
      <c r="N11" s="8" t="str">
        <f aca="true">IF(B11&amp;C11="","",IF(M11="Hidden","Hidden",IF(AND(J11&lt;&gt;"",J11&gt;TODAY()),"Scheduled",IF(AND(K11&lt;&gt;"",K11&lt;TODAY()),"Expired","Showing"))))</f>
        <v>Showing</v>
      </c>
    </row>
    <row r="12" customFormat="false" ht="15" hidden="false" customHeight="false" outlineLevel="0" collapsed="false">
      <c r="A12" s="5" t="s">
        <v>152</v>
      </c>
      <c r="B12" s="5" t="s">
        <v>153</v>
      </c>
      <c r="C12" s="5" t="s">
        <v>154</v>
      </c>
      <c r="D12" s="9"/>
      <c r="E12" s="9"/>
      <c r="F12" s="9"/>
      <c r="G12" s="9"/>
      <c r="H12" s="9"/>
      <c r="I12" s="5"/>
      <c r="J12" s="7"/>
      <c r="K12" s="7"/>
      <c r="L12" s="5"/>
      <c r="M12" s="5" t="s">
        <v>60</v>
      </c>
      <c r="N12" s="8" t="str">
        <f aca="true">IF(B12&amp;C12="","",IF(M12="Hidden","Hidden",IF(AND(J12&lt;&gt;"",J12&gt;TODAY()),"Scheduled",IF(AND(K12&lt;&gt;"",K12&lt;TODAY()),"Expired","Showing"))))</f>
        <v>Showing</v>
      </c>
    </row>
    <row r="13" customFormat="false" ht="23.85" hidden="false" customHeight="false" outlineLevel="0" collapsed="false">
      <c r="A13" s="5" t="s">
        <v>152</v>
      </c>
      <c r="B13" s="5" t="s">
        <v>155</v>
      </c>
      <c r="C13" s="5" t="s">
        <v>156</v>
      </c>
      <c r="D13" s="9"/>
      <c r="E13" s="9"/>
      <c r="F13" s="9"/>
      <c r="G13" s="9"/>
      <c r="H13" s="9"/>
      <c r="I13" s="5"/>
      <c r="J13" s="7"/>
      <c r="K13" s="7"/>
      <c r="L13" s="5"/>
      <c r="M13" s="5" t="s">
        <v>60</v>
      </c>
      <c r="N13" s="8" t="str">
        <f aca="true">IF(B13&amp;C13="","",IF(M13="Hidden","Hidden",IF(AND(J13&lt;&gt;"",J13&gt;TODAY()),"Scheduled",IF(AND(K13&lt;&gt;"",K13&lt;TODAY()),"Expired","Showing"))))</f>
        <v>Showing</v>
      </c>
    </row>
    <row r="14" customFormat="false" ht="23.85" hidden="false" customHeight="false" outlineLevel="0" collapsed="false">
      <c r="A14" s="5" t="s">
        <v>157</v>
      </c>
      <c r="B14" s="5" t="s">
        <v>158</v>
      </c>
      <c r="C14" s="5" t="s">
        <v>159</v>
      </c>
      <c r="D14" s="9"/>
      <c r="E14" s="9"/>
      <c r="F14" s="9"/>
      <c r="G14" s="9"/>
      <c r="H14" s="9"/>
      <c r="I14" s="5"/>
      <c r="J14" s="7"/>
      <c r="K14" s="7"/>
      <c r="L14" s="5"/>
      <c r="M14" s="5" t="s">
        <v>60</v>
      </c>
      <c r="N14" s="8" t="str">
        <f aca="true">IF(B14&amp;C14="","",IF(M14="Hidden","Hidden",IF(AND(J14&lt;&gt;"",J14&gt;TODAY()),"Scheduled",IF(AND(K14&lt;&gt;"",K14&lt;TODAY()),"Expired","Showing"))))</f>
        <v>Showing</v>
      </c>
    </row>
    <row r="15" customFormat="false" ht="23.85" hidden="false" customHeight="false" outlineLevel="0" collapsed="false">
      <c r="A15" s="5" t="s">
        <v>160</v>
      </c>
      <c r="B15" s="5" t="s">
        <v>161</v>
      </c>
      <c r="C15" s="5" t="s">
        <v>162</v>
      </c>
      <c r="D15" s="9"/>
      <c r="E15" s="9"/>
      <c r="F15" s="9"/>
      <c r="G15" s="9"/>
      <c r="H15" s="9"/>
      <c r="I15" s="5"/>
      <c r="J15" s="7"/>
      <c r="K15" s="7"/>
      <c r="L15" s="5"/>
      <c r="M15" s="5" t="s">
        <v>60</v>
      </c>
      <c r="N15" s="8" t="str">
        <f aca="true">IF(B15&amp;C15="","",IF(M15="Hidden","Hidden",IF(AND(J15&lt;&gt;"",J15&gt;TODAY()),"Scheduled",IF(AND(K15&lt;&gt;"",K15&lt;TODAY()),"Expired","Showing"))))</f>
        <v>Showing</v>
      </c>
    </row>
    <row r="16" customFormat="false" ht="23.85" hidden="false" customHeight="false" outlineLevel="0" collapsed="false">
      <c r="A16" s="5" t="s">
        <v>160</v>
      </c>
      <c r="B16" s="5" t="s">
        <v>163</v>
      </c>
      <c r="C16" s="5" t="s">
        <v>164</v>
      </c>
      <c r="D16" s="9"/>
      <c r="E16" s="9"/>
      <c r="F16" s="9"/>
      <c r="G16" s="9"/>
      <c r="H16" s="9"/>
      <c r="I16" s="5"/>
      <c r="J16" s="7"/>
      <c r="K16" s="7"/>
      <c r="L16" s="5"/>
      <c r="M16" s="5" t="s">
        <v>60</v>
      </c>
      <c r="N16" s="8" t="str">
        <f aca="true">IF(B16&amp;C16="","",IF(M16="Hidden","Hidden",IF(AND(J16&lt;&gt;"",J16&gt;TODAY()),"Scheduled",IF(AND(K16&lt;&gt;"",K16&lt;TODAY()),"Expired","Showing"))))</f>
        <v>Showing</v>
      </c>
    </row>
    <row r="17" customFormat="false" ht="15" hidden="false" customHeight="false" outlineLevel="0" collapsed="false">
      <c r="A17" s="5" t="s">
        <v>165</v>
      </c>
      <c r="B17" s="5" t="s">
        <v>166</v>
      </c>
      <c r="C17" s="5"/>
      <c r="D17" s="9"/>
      <c r="E17" s="9"/>
      <c r="F17" s="9"/>
      <c r="G17" s="9"/>
      <c r="H17" s="9"/>
      <c r="I17" s="5"/>
      <c r="J17" s="7"/>
      <c r="K17" s="7"/>
      <c r="L17" s="5"/>
      <c r="M17" s="5" t="s">
        <v>60</v>
      </c>
      <c r="N17" s="8" t="str">
        <f aca="true">IF(B17&amp;C17="","",IF(M17="Hidden","Hidden",IF(AND(J17&lt;&gt;"",J17&gt;TODAY()),"Scheduled",IF(AND(K17&lt;&gt;"",K17&lt;TODAY()),"Expired","Showing"))))</f>
        <v>Showing</v>
      </c>
    </row>
    <row r="18" customFormat="false" ht="15" hidden="false" customHeight="false" outlineLevel="0" collapsed="false">
      <c r="A18" s="5" t="s">
        <v>165</v>
      </c>
      <c r="B18" s="5" t="s">
        <v>167</v>
      </c>
      <c r="C18" s="5"/>
      <c r="D18" s="9"/>
      <c r="E18" s="9"/>
      <c r="F18" s="9"/>
      <c r="G18" s="9"/>
      <c r="H18" s="9"/>
      <c r="I18" s="5"/>
      <c r="J18" s="7"/>
      <c r="K18" s="7"/>
      <c r="L18" s="5"/>
      <c r="M18" s="5" t="s">
        <v>60</v>
      </c>
      <c r="N18" s="8" t="str">
        <f aca="true">IF(B18&amp;C18="","",IF(M18="Hidden","Hidden",IF(AND(J18&lt;&gt;"",J18&gt;TODAY()),"Scheduled",IF(AND(K18&lt;&gt;"",K18&lt;TODAY()),"Expired","Showing"))))</f>
        <v>Showing</v>
      </c>
    </row>
    <row r="19" customFormat="false" ht="15" hidden="false" customHeight="false" outlineLevel="0" collapsed="false">
      <c r="A19" s="5" t="s">
        <v>165</v>
      </c>
      <c r="B19" s="5" t="s">
        <v>168</v>
      </c>
      <c r="C19" s="5"/>
      <c r="D19" s="9"/>
      <c r="E19" s="9"/>
      <c r="F19" s="9"/>
      <c r="G19" s="9"/>
      <c r="H19" s="9"/>
      <c r="I19" s="5"/>
      <c r="J19" s="7"/>
      <c r="K19" s="7"/>
      <c r="L19" s="5"/>
      <c r="M19" s="5" t="s">
        <v>60</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169</v>
      </c>
      <c r="B1" s="4" t="s">
        <v>82</v>
      </c>
      <c r="C1" s="4" t="s">
        <v>83</v>
      </c>
      <c r="D1" s="4" t="s">
        <v>56</v>
      </c>
      <c r="E1" s="4" t="s">
        <v>57</v>
      </c>
    </row>
    <row r="2" customFormat="false" ht="15" hidden="false" customHeight="false" outlineLevel="0" collapsed="false">
      <c r="A2" s="5" t="s">
        <v>170</v>
      </c>
      <c r="B2" s="7" t="n">
        <v>46304</v>
      </c>
      <c r="C2" s="7" t="n">
        <v>46305</v>
      </c>
      <c r="D2" s="5" t="s">
        <v>60</v>
      </c>
      <c r="E2" s="8" t="str">
        <f aca="true">IF(A2="","",IF(D2="Hidden","Hidden",IF(AND(B2&lt;&gt;"",B2&gt;TODAY()),"Scheduled",IF(AND(C2&lt;&gt;"",C2&lt;TODAY()),"Expired","Showing"))))</f>
        <v>Showing</v>
      </c>
    </row>
    <row r="3" customFormat="false" ht="15" hidden="false" customHeight="false" outlineLevel="0" collapsed="false">
      <c r="A3" s="5" t="s">
        <v>171</v>
      </c>
      <c r="B3" s="7" t="n">
        <v>46357</v>
      </c>
      <c r="C3" s="7" t="n">
        <v>46381</v>
      </c>
      <c r="D3" s="5" t="s">
        <v>60</v>
      </c>
      <c r="E3" s="8" t="str">
        <f aca="true">IF(A3="","",IF(D3="Hidden","Hidden",IF(AND(B3&lt;&gt;"",B3&gt;TODAY()),"Scheduled",IF(AND(C3&lt;&gt;"",C3&lt;TODAY()),"Expired","Showing"))))</f>
        <v>Scheduled</v>
      </c>
    </row>
    <row r="4" customFormat="false" ht="23.85" hidden="false" customHeight="false" outlineLevel="0" collapsed="false">
      <c r="A4" s="5" t="s">
        <v>172</v>
      </c>
      <c r="B4" s="7" t="n">
        <v>46357</v>
      </c>
      <c r="C4" s="7" t="n">
        <v>46387</v>
      </c>
      <c r="D4" s="5" t="s">
        <v>60</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173</v>
      </c>
      <c r="B1" s="4" t="s">
        <v>174</v>
      </c>
      <c r="C1" s="4" t="s">
        <v>175</v>
      </c>
      <c r="D1" s="4" t="s">
        <v>176</v>
      </c>
      <c r="E1" s="4" t="s">
        <v>77</v>
      </c>
      <c r="F1" s="4" t="s">
        <v>177</v>
      </c>
      <c r="G1" s="4" t="s">
        <v>178</v>
      </c>
      <c r="H1" s="4" t="s">
        <v>82</v>
      </c>
      <c r="I1" s="4" t="s">
        <v>56</v>
      </c>
      <c r="J1" s="4" t="s">
        <v>57</v>
      </c>
    </row>
    <row r="2" customFormat="false" ht="23.85" hidden="false" customHeight="false" outlineLevel="0" collapsed="false">
      <c r="A2" s="5" t="s">
        <v>179</v>
      </c>
      <c r="B2" s="7" t="n">
        <v>46564</v>
      </c>
      <c r="C2" s="7"/>
      <c r="D2" s="5" t="s">
        <v>180</v>
      </c>
      <c r="E2" s="5" t="s">
        <v>181</v>
      </c>
      <c r="F2" s="5"/>
      <c r="G2" s="5" t="s">
        <v>182</v>
      </c>
      <c r="H2" s="7" t="n">
        <v>46508</v>
      </c>
      <c r="I2" s="5" t="s">
        <v>74</v>
      </c>
      <c r="J2" s="8" t="str">
        <f aca="true">IF(A2="","",IF(I2="Hidden","Hidden",IF(AND(H2&lt;&gt;"",H2&gt;TODAY()),"Scheduled",IF(IF(C2&lt;&gt;"",C2,B2)&lt;TODAY(),"Expired","Showing"))))</f>
        <v>Hidden</v>
      </c>
    </row>
    <row r="3" customFormat="false" ht="23.85" hidden="false" customHeight="false" outlineLevel="0" collapsed="false">
      <c r="A3" s="5" t="s">
        <v>183</v>
      </c>
      <c r="B3" s="7" t="n">
        <v>46592</v>
      </c>
      <c r="C3" s="7"/>
      <c r="D3" s="5" t="s">
        <v>184</v>
      </c>
      <c r="E3" s="5" t="s">
        <v>185</v>
      </c>
      <c r="F3" s="5" t="s">
        <v>59</v>
      </c>
      <c r="G3" s="5" t="s">
        <v>186</v>
      </c>
      <c r="H3" s="7" t="n">
        <v>46553</v>
      </c>
      <c r="I3" s="5" t="s">
        <v>74</v>
      </c>
      <c r="J3" s="8" t="str">
        <f aca="true">IF(A3="","",IF(I3="Hidden","Hidden",IF(AND(H3&lt;&gt;"",H3&gt;TODAY()),"Scheduled",IF(IF(C3&lt;&gt;"",C3,B3)&lt;TODAY(),"Expired","Showing"))))</f>
        <v>Hidden</v>
      </c>
    </row>
    <row r="4" customFormat="false" ht="15" hidden="false" customHeight="false" outlineLevel="0" collapsed="false">
      <c r="A4" s="5"/>
      <c r="B4" s="7"/>
      <c r="C4" s="7"/>
      <c r="D4" s="5"/>
      <c r="E4" s="5"/>
      <c r="F4" s="5"/>
      <c r="G4" s="5"/>
      <c r="H4" s="7"/>
      <c r="I4" s="5"/>
      <c r="J4" s="8" t="str">
        <f aca="true">IF(A4="","",IF(I4="Hidden","Hidden",IF(AND(H4&lt;&gt;"",H4&gt;TODAY()),"Scheduled",IF(IF(C4&lt;&gt;"",C4,B4)&lt;TODAY(),"Expired","Showing"))))</f>
        <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187</v>
      </c>
      <c r="B1" s="4" t="s">
        <v>188</v>
      </c>
      <c r="C1" s="4" t="s">
        <v>169</v>
      </c>
      <c r="D1" s="4" t="s">
        <v>189</v>
      </c>
      <c r="E1" s="4" t="s">
        <v>190</v>
      </c>
      <c r="F1" s="4" t="s">
        <v>191</v>
      </c>
      <c r="G1" s="4" t="s">
        <v>82</v>
      </c>
      <c r="H1" s="4" t="s">
        <v>83</v>
      </c>
      <c r="I1" s="4" t="s">
        <v>56</v>
      </c>
      <c r="J1" s="4" t="s">
        <v>57</v>
      </c>
    </row>
    <row r="2" customFormat="false" ht="23.85" hidden="false" customHeight="false" outlineLevel="0" collapsed="false">
      <c r="A2" s="5" t="s">
        <v>192</v>
      </c>
      <c r="B2" s="5" t="s">
        <v>193</v>
      </c>
      <c r="C2" s="5" t="s">
        <v>194</v>
      </c>
      <c r="D2" s="5" t="s">
        <v>195</v>
      </c>
      <c r="E2" s="5" t="s">
        <v>196</v>
      </c>
      <c r="F2" s="5" t="s">
        <v>197</v>
      </c>
      <c r="G2" s="7" t="n">
        <v>46304</v>
      </c>
      <c r="H2" s="7" t="n">
        <v>46387</v>
      </c>
      <c r="I2" s="5" t="s">
        <v>60</v>
      </c>
      <c r="J2" s="8" t="str">
        <f aca="true">IF(B2="","",IF(I2="Hidden","Hidden",IF(AND(G2&lt;&gt;"",G2&gt;TODAY()),"Scheduled",IF(AND(H2&lt;&gt;"",H2&lt;TODAY()),"Expired","Showing"))))</f>
        <v>Showing</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2026-10-09T22:25:39Z</dcterms:created>
  <dc:creator>openpyxl</dc:creator>
  <dc:description/>
  <dc:language>en-US</dc:language>
  <cp:lastModifiedBy/>
  <dcterms:modified xsi:type="dcterms:W3CDTF">2026-10-09T22:25:40Z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