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 name="Routes"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The number at the end of a Komoot route link, e.g. komoot.com/tour/743511818 -&gt; 743511818. The route must be public. Leave blank for no map.</t>
        </r>
      </text>
    </comment>
  </commentList>
</comments>
</file>

<file path=xl/sharedStrings.xml><?xml version="1.0" encoding="utf-8"?>
<sst xmlns="http://schemas.openxmlformats.org/spreadsheetml/2006/main" count="396" uniqueCount="233">
  <si>
    <t xml:space="preserve">The Royal Oak: website content sheet</t>
  </si>
  <si>
    <t xml:space="preserve">Anything you add on the Hours, Menu, Drinks, Offers, Events, Feature and Routes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</si>
  <si>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</si>
  <si>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</si>
  <si>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</si>
  <si>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</si>
  <si>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</si>
  <si>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</si>
  <si>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</si>
  <si>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</si>
  <si>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</si>
  <si>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</si>
  <si>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</si>
  <si>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</si>
  <si>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</si>
  <si>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</si>
  <si>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</si>
  <si>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</si>
  <si>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</si>
  <si>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</si>
  <si>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</si>
  <si>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</si>
  <si>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</si>
  <si>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</si>
  <si>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</si>
  <si>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</si>
  <si>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</si>
  <si>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</si>
  <si>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</si>
  <si>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</si>
  <si>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</si>
  <si>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</si>
  <si>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</si>
  <si>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</si>
  <si>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Routes tab</t>
  </si>
  <si>
    <t xml:space="preserve">Routes is the 'Walks &amp; rides' section. Type is Walk or Ride. If you paste a Komoot tour ID, the card gets a 'Show route map' button that loads the Komoot map and elevation profile (the route must be public on Komoot). Walks without an ID just show their details and link.</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</si>
  <si>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</si>
  <si>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</si>
  <si>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</si>
  <si>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</si>
  <si>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</si>
  <si>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Routes): File &gt; Share &gt; Publish to web &gt; pick that tab &gt; choose 'Comma-separated values (.csv)' &gt; Publish. Copy the link.</t>
  </si>
  <si>
    <t xml:space="preserve">3. Paste the seven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</si>
  <si>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 routes.csv).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</si>
  <si>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</si>
  <si>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</si>
  <si>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</si>
  <si>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</si>
  <si>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</si>
  <si>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</si>
  <si>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</si>
  <si>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</si>
  <si>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</si>
  <si>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</si>
  <si>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</si>
  <si>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</si>
  <si>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</si>
  <si>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</si>
  <si>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</si>
  <si>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</si>
  <si>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</si>
  <si>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</si>
  <si>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</si>
  <si>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</si>
  <si>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</si>
  <si>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</si>
  <si>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</si>
  <si>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</si>
  <si>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</si>
  <si>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</si>
  <si>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</si>
  <si>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</si>
  <si>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</si>
  <si>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</si>
  <si>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</si>
  <si>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</si>
  <si>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</si>
  <si>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</si>
  <si>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</si>
  <si>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</si>
  <si>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</si>
  <si>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</si>
  <si>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</si>
  <si>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</si>
  <si>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</si>
  <si>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</si>
  <si>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</si>
  <si>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</si>
  <si>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</si>
  <si>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The 5-5-5 menu: Friday 9 and Saturday 10 October</t>
  </si>
  <si>
    <t xml:space="preserve">Fish &amp; chips. Curry. Wagyu burger. 5 bean chilli &amp; rice. Sausage &amp; mash with onion gravy.</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</si>
  <si>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</si>
  <si>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</si>
  <si>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</si>
  <si>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</si>
  <si>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</si>
  <si>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</si>
  <si>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</si>
  <si>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</si>
  <si>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</si>
  <si>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</si>
  <si>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</si>
  <si>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</si>
  <si>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</si>
  <si>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</si>
  <si>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</si>
  <si>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</si>
  <si>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</si>
  <si>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</si>
  <si>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</si>
  <si>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</si>
  <si>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</si>
  <si>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</si>
  <si>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</si>
  <si>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</si>
  <si>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</si>
  <si>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</si>
  <si>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</si>
  <si>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</si>
  <si>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</si>
  <si>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</si>
  <si>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</si>
  <si>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</si>
  <si>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</si>
  <si>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</si>
  <si>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</si>
  <si>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</si>
  <si>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</si>
  <si>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</si>
  <si>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</si>
  <si>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</si>
  <si>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</si>
  <si>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</si>
  <si>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</si>
  <si>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</si>
  <si>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</si>
  <si>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</si>
  <si>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</si>
  <si>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</si>
  <si>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</si>
  <si>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</si>
  <si>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</si>
  <si>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</si>
  <si>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</si>
  <si>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</si>
  <si>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</si>
  <si>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</si>
  <si>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</si>
  <si>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</si>
  <si>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</si>
  <si>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</si>
  <si>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</si>
  <si>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</si>
  <si>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</si>
  <si>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</si>
  <si>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</si>
  <si>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</si>
  <si>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</si>
  <si>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</si>
  <si>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</si>
  <si>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</si>
  <si>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</si>
  <si>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</si>
  <si>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</si>
  <si>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</si>
  <si>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</si>
  <si>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</si>
  <si>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</si>
  <si>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</si>
  <si>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</si>
  <si>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</si>
  <si>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</si>
  <si>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</si>
  <si>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</si>
  <si>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</si>
  <si>
    <t xml:space="preserve">Event</t>
  </si>
  <si>
    <t xml:space="preserve">Date</t>
  </si>
  <si>
    <t xml:space="preserve">End date</t>
  </si>
  <si>
    <t xml:space="preserve">Time</t>
  </si>
  <si>
    <t xml:space="preserve">Family friendly</t>
  </si>
  <si>
    <t xml:space="preserve">Booking note</t>
  </si>
  <si>
    <t xml:space="preserve">New Year's Eve BBQ</t>
  </si>
  <si>
    <t xml:space="preserve">Mexican Dave on the grill: smoked brisket, creamy mac and cheese, burgers and sausages with caramelised onions. There may even be the odd frozen margarita behind the bar.</t>
  </si>
  <si>
    <t xml:space="preserve">Please book</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</si>
  <si>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</si>
  <si>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</si>
  <si>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</si>
  <si>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</si>
  <si>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</si>
  <si>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</si>
  <si>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</si>
  <si>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</si>
  <si>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</si>
  <si>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</si>
  <si>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</si>
  <si>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</si>
  <si>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</si>
  <si>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Thursday 31 December</t>
  </si>
  <si>
    <t xml:space="preserve">New Year's Eve BBQ.</t>
  </si>
  <si>
    <t xml:space="preserve">Mexican Dave is on the grill, with plenty of Mexican flavours on the go. There may even be the odd frozen margarita behind the bar. Please book.</t>
  </si>
  <si>
    <t xml:space="preserve">Smoked brisket | Creamy mac and cheese | Burgers and sausages with caramelised onions | Frozen margaritas behind the bar, maybe</t>
  </si>
  <si>
    <t xml:space="preserve">Call to book</t>
  </si>
  <si>
    <t xml:space="preserve">tel:01765677198</t>
  </si>
  <si>
    <t xml:space="preserve">Type</t>
  </si>
  <si>
    <t xml:space="preserve">Name</t>
  </si>
  <si>
    <t xml:space="preserve">Miles</t>
  </si>
  <si>
    <t xml:space="preserve">Climb (ft)</t>
  </si>
  <si>
    <t xml:space="preserve">Difficulty</t>
  </si>
  <si>
    <t xml:space="preserve">Komoot tour ID</t>
  </si>
  <si>
    <t xml:space="preserve">More info link</t>
  </si>
  <si>
    <t xml:space="preserve">Walk</t>
  </si>
  <si>
    <t xml:space="preserve">Burton Leonard circular</t>
  </si>
  <si>
    <t xml:space="preserve">About 2¼ hours</t>
  </si>
  <si>
    <t xml:space="preserve">Moderate</t>
  </si>
  <si>
    <t xml:space="preserve">Across farmland to South Stainley, onto the Ripon Rowel path, and back via Copgrove. There is roadside parking in the village.</t>
  </si>
  <si>
    <t xml:space="preserve">https://www.yorkshire.com/burton-leonard</t>
  </si>
  <si>
    <t xml:space="preserve">Ripon Canal</t>
  </si>
  <si>
    <t xml:space="preserve">A stretch of towpath beside the Ripon Canal, with boats, birds and no traffic.</t>
  </si>
  <si>
    <t xml:space="preserve">Ripon Rowel Walk, first leg</t>
  </si>
  <si>
    <t xml:space="preserve">Easy to moderate</t>
  </si>
  <si>
    <t xml:space="preserve">Ripon Minster to South Stainley along the canal, the River Ure at Oxclose Lock and Bishop Monkton, then through Burton Leonard past the village green. One way; the No. 36 bus runs back to Ripon.</t>
  </si>
  <si>
    <t xml:space="preserve">https://www.walkingbritain.co.uk/walk-2403-print</t>
  </si>
  <si>
    <t xml:space="preserve">Ride</t>
  </si>
  <si>
    <t xml:space="preserve">Nidderdale Classic</t>
  </si>
  <si>
    <t xml:space="preserve">3 h 22 min</t>
  </si>
  <si>
    <t xml:space="preserve">A ride recorded by Dave. Mostly gravel track with some quiet lanes, four proper climbs and a high point of 440 m. Good fitness needed.</t>
  </si>
  <si>
    <t xml:space="preserve">743511818</t>
  </si>
  <si>
    <t xml:space="preserve">https://www.komoot.com/tour/743511818</t>
  </si>
  <si>
    <t xml:space="preserve">Ferrensby, Knaresborough and Ripley</t>
  </si>
  <si>
    <t xml:space="preserve">2 h 10 min</t>
  </si>
  <si>
    <t xml:space="preserve">A mountain bike ride recorded by Dave. Mostly tarmac and cycleway, with some singletrack and gravel. Can be muddy in places.</t>
  </si>
  <si>
    <t xml:space="preserve">961903783</t>
  </si>
  <si>
    <t xml:space="preserve">https://www.komoot.com/tour/961903783</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</si>
</sst>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3" t="s">
        <v>34</v>
      </c>
    </row>
    <row r="40" customFormat="false" ht="23.8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row>
    <row r="43" customFormat="false" ht="15" hidden="false" customHeight="false" outlineLevel="0" collapsed="false">
      <c r="A43" s="3" t="s">
        <v>37</v>
      </c>
    </row>
    <row r="44" customFormat="false" ht="15" hidden="false" customHeight="false" outlineLevel="0" collapsed="false">
      <c r="A44" s="2" t="s">
        <v>38</v>
      </c>
    </row>
    <row r="45" customFormat="false" ht="15" hidden="false" customHeight="false" outlineLevel="0" collapsed="false">
      <c r="A45" s="2"/>
    </row>
    <row r="46" customFormat="false" ht="15" hidden="false" customHeight="false" outlineLevel="0" collapsed="false">
      <c r="A46" s="3" t="s">
        <v>39</v>
      </c>
    </row>
    <row r="47" customFormat="false" ht="15" hidden="false" customHeight="false" outlineLevel="0" collapsed="false">
      <c r="A47" s="2" t="s">
        <v>40</v>
      </c>
    </row>
    <row r="48" customFormat="false" ht="23.85" hidden="false" customHeight="false" outlineLevel="0" collapsed="false">
      <c r="A48" s="2" t="s">
        <v>41</v>
      </c>
    </row>
    <row r="49" customFormat="false" ht="23.85" hidden="false" customHeight="false" outlineLevel="0" collapsed="false">
      <c r="A49" s="2" t="s">
        <v>42</v>
      </c>
    </row>
    <row r="50" customFormat="false" ht="23.85" hidden="false" customHeight="false" outlineLevel="0" collapsed="false">
      <c r="A50" s="2" t="s">
        <v>43</v>
      </c>
    </row>
    <row r="51" customFormat="false" ht="15" hidden="false" customHeight="false" outlineLevel="0" collapsed="false">
      <c r="A51" s="2"/>
    </row>
    <row r="52" customFormat="false" ht="15" hidden="false" customHeight="false" outlineLevel="0" collapsed="false">
      <c r="A52" s="3" t="s">
        <v>44</v>
      </c>
    </row>
    <row r="53" customFormat="false" ht="46.25" hidden="false" customHeight="false" outlineLevel="0" collapsed="false">
      <c r="A53" s="2"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46</v>
      </c>
      <c r="B1" s="4" t="s">
        <v>47</v>
      </c>
      <c r="C1" s="4" t="s">
        <v>48</v>
      </c>
      <c r="D1" s="4" t="s">
        <v>49</v>
      </c>
      <c r="E1" s="4" t="s">
        <v>50</v>
      </c>
      <c r="F1" s="4" t="s">
        <v>51</v>
      </c>
      <c r="G1" s="4" t="s">
        <v>52</v>
      </c>
      <c r="H1" s="4" t="s">
        <v>53</v>
      </c>
      <c r="I1" s="4" t="s">
        <v>54</v>
      </c>
      <c r="J1" s="4" t="s">
        <v>55</v>
      </c>
      <c r="K1" s="4" t="s">
        <v>56</v>
      </c>
      <c r="L1" s="4" t="s">
        <v>57</v>
      </c>
      <c r="M1" s="4" t="s">
        <v>58</v>
      </c>
      <c r="N1" s="4" t="s">
        <v>59</v>
      </c>
    </row>
    <row r="2" customFormat="false" ht="15" hidden="false" customHeight="false" outlineLevel="0" collapsed="false">
      <c r="A2" s="5" t="s">
        <v>60</v>
      </c>
      <c r="B2" s="5"/>
      <c r="C2" s="6"/>
      <c r="D2" s="6"/>
      <c r="E2" s="6"/>
      <c r="F2" s="6"/>
      <c r="G2" s="5"/>
      <c r="H2" s="5" t="s">
        <v>61</v>
      </c>
      <c r="I2" s="5"/>
      <c r="J2" s="7"/>
      <c r="K2" s="7"/>
      <c r="L2" s="7"/>
      <c r="M2" s="5" t="s">
        <v>62</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63</v>
      </c>
      <c r="B3" s="5"/>
      <c r="C3" s="6" t="n">
        <v>0.708333333333333</v>
      </c>
      <c r="D3" s="6" t="n">
        <v>0.916666666666667</v>
      </c>
      <c r="E3" s="6"/>
      <c r="F3" s="6"/>
      <c r="G3" s="5"/>
      <c r="H3" s="5"/>
      <c r="I3" s="5" t="s">
        <v>64</v>
      </c>
      <c r="J3" s="7"/>
      <c r="K3" s="7"/>
      <c r="L3" s="7"/>
      <c r="M3" s="5" t="s">
        <v>62</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65</v>
      </c>
      <c r="B4" s="5"/>
      <c r="C4" s="6" t="n">
        <v>0.708333333333333</v>
      </c>
      <c r="D4" s="6"/>
      <c r="E4" s="6" t="n">
        <v>0.708333333333333</v>
      </c>
      <c r="F4" s="6" t="n">
        <v>0.833333333333333</v>
      </c>
      <c r="G4" s="5" t="s">
        <v>66</v>
      </c>
      <c r="H4" s="5"/>
      <c r="I4" s="5" t="s">
        <v>67</v>
      </c>
      <c r="J4" s="7"/>
      <c r="K4" s="7"/>
      <c r="L4" s="7"/>
      <c r="M4" s="5" t="s">
        <v>62</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68</v>
      </c>
      <c r="B5" s="5"/>
      <c r="C5" s="6" t="n">
        <v>0.625</v>
      </c>
      <c r="D5" s="6"/>
      <c r="E5" s="6" t="n">
        <v>0.708333333333333</v>
      </c>
      <c r="F5" s="6" t="n">
        <v>0.833333333333333</v>
      </c>
      <c r="G5" s="5" t="s">
        <v>66</v>
      </c>
      <c r="H5" s="5"/>
      <c r="I5" s="5"/>
      <c r="J5" s="7"/>
      <c r="K5" s="7"/>
      <c r="L5" s="7"/>
      <c r="M5" s="5" t="s">
        <v>62</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69</v>
      </c>
      <c r="B6" s="5"/>
      <c r="C6" s="6" t="n">
        <v>0.625</v>
      </c>
      <c r="D6" s="6" t="n">
        <v>0.958333333333333</v>
      </c>
      <c r="E6" s="6" t="n">
        <v>0.708333333333333</v>
      </c>
      <c r="F6" s="6" t="n">
        <v>0.833333333333333</v>
      </c>
      <c r="G6" s="5" t="s">
        <v>66</v>
      </c>
      <c r="H6" s="5"/>
      <c r="I6" s="5"/>
      <c r="J6" s="7"/>
      <c r="K6" s="7"/>
      <c r="L6" s="7"/>
      <c r="M6" s="5" t="s">
        <v>62</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70</v>
      </c>
      <c r="B7" s="5"/>
      <c r="C7" s="6" t="n">
        <v>0.5</v>
      </c>
      <c r="D7" s="6" t="n">
        <v>0.833333333333333</v>
      </c>
      <c r="E7" s="6"/>
      <c r="F7" s="6"/>
      <c r="G7" s="5"/>
      <c r="H7" s="5"/>
      <c r="I7" s="5"/>
      <c r="J7" s="7"/>
      <c r="K7" s="7"/>
      <c r="L7" s="7"/>
      <c r="M7" s="5" t="s">
        <v>62</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70</v>
      </c>
      <c r="B8" s="5" t="s">
        <v>71</v>
      </c>
      <c r="C8" s="6" t="n">
        <v>0.5</v>
      </c>
      <c r="D8" s="6" t="n">
        <v>0.833333333333333</v>
      </c>
      <c r="E8" s="6" t="n">
        <v>0.5</v>
      </c>
      <c r="F8" s="6" t="n">
        <v>0.708333333333333</v>
      </c>
      <c r="G8" s="5" t="s">
        <v>72</v>
      </c>
      <c r="H8" s="5"/>
      <c r="I8" s="5"/>
      <c r="J8" s="7"/>
      <c r="K8" s="7"/>
      <c r="L8" s="7"/>
      <c r="M8" s="5" t="s">
        <v>62</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68</v>
      </c>
      <c r="B9" s="5"/>
      <c r="C9" s="6" t="n">
        <v>0.458333333333333</v>
      </c>
      <c r="D9" s="6" t="n">
        <v>0.583333333333333</v>
      </c>
      <c r="E9" s="6"/>
      <c r="F9" s="6"/>
      <c r="G9" s="5"/>
      <c r="H9" s="5"/>
      <c r="I9" s="5" t="s">
        <v>73</v>
      </c>
      <c r="J9" s="7" t="n">
        <v>46381</v>
      </c>
      <c r="K9" s="7" t="n">
        <v>46381</v>
      </c>
      <c r="L9" s="7"/>
      <c r="M9" s="5" t="s">
        <v>62</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65</v>
      </c>
      <c r="B10" s="5"/>
      <c r="C10" s="6" t="n">
        <v>0.708333333333333</v>
      </c>
      <c r="D10" s="6"/>
      <c r="E10" s="6"/>
      <c r="F10" s="6"/>
      <c r="G10" s="5"/>
      <c r="H10" s="5"/>
      <c r="I10" s="5" t="s">
        <v>74</v>
      </c>
      <c r="J10" s="7" t="n">
        <v>46387</v>
      </c>
      <c r="K10" s="7" t="n">
        <v>46387</v>
      </c>
      <c r="L10" s="7"/>
      <c r="M10" s="5" t="s">
        <v>62</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65</v>
      </c>
      <c r="B11" s="5"/>
      <c r="C11" s="6" t="n">
        <v>0.5</v>
      </c>
      <c r="D11" s="6" t="n">
        <v>0.625</v>
      </c>
      <c r="E11" s="6"/>
      <c r="F11" s="6"/>
      <c r="G11" s="5"/>
      <c r="H11" s="5"/>
      <c r="I11" s="5" t="s">
        <v>75</v>
      </c>
      <c r="J11" s="7" t="n">
        <v>46380</v>
      </c>
      <c r="K11" s="7" t="n">
        <v>46380</v>
      </c>
      <c r="L11" s="7" t="n">
        <v>46357</v>
      </c>
      <c r="M11" s="5" t="s">
        <v>76</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77</v>
      </c>
      <c r="B1" s="4" t="s">
        <v>78</v>
      </c>
      <c r="C1" s="4" t="s">
        <v>79</v>
      </c>
      <c r="D1" s="4" t="s">
        <v>80</v>
      </c>
      <c r="E1" s="4" t="s">
        <v>81</v>
      </c>
      <c r="F1" s="4" t="s">
        <v>82</v>
      </c>
      <c r="G1" s="4" t="s">
        <v>83</v>
      </c>
      <c r="H1" s="4" t="s">
        <v>84</v>
      </c>
      <c r="I1" s="4" t="s">
        <v>85</v>
      </c>
      <c r="J1" s="4" t="s">
        <v>46</v>
      </c>
      <c r="K1" s="4" t="s">
        <v>58</v>
      </c>
      <c r="L1" s="4" t="s">
        <v>59</v>
      </c>
    </row>
    <row r="2" customFormat="false" ht="15" hidden="false" customHeight="false" outlineLevel="0" collapsed="false">
      <c r="A2" s="5"/>
      <c r="B2" s="5" t="s">
        <v>86</v>
      </c>
      <c r="C2" s="5" t="s">
        <v>87</v>
      </c>
      <c r="D2" s="9" t="n">
        <v>9.95</v>
      </c>
      <c r="E2" s="5"/>
      <c r="F2" s="5" t="s">
        <v>88</v>
      </c>
      <c r="G2" s="5" t="s">
        <v>61</v>
      </c>
      <c r="H2" s="7"/>
      <c r="I2" s="7" t="n">
        <v>46386</v>
      </c>
      <c r="J2" s="5"/>
      <c r="K2" s="5" t="s">
        <v>62</v>
      </c>
      <c r="L2" s="8" t="str">
        <f aca="true">IF(B2&amp;C2="","",IF(K2="Hidden","Hidden",IF(AND(H2&lt;&gt;"",H2&gt;TODAY()),"Scheduled",IF(AND(I2&lt;&gt;"",I2&lt;TODAY()),"Expired","Showing"))))</f>
        <v>Showing</v>
      </c>
    </row>
    <row r="3" customFormat="false" ht="15" hidden="false" customHeight="false" outlineLevel="0" collapsed="false">
      <c r="A3" s="5"/>
      <c r="B3" s="5" t="s">
        <v>86</v>
      </c>
      <c r="C3" s="5" t="s">
        <v>87</v>
      </c>
      <c r="D3" s="9" t="n">
        <v>9.95</v>
      </c>
      <c r="E3" s="5"/>
      <c r="F3" s="5" t="s">
        <v>88</v>
      </c>
      <c r="G3" s="5" t="s">
        <v>61</v>
      </c>
      <c r="H3" s="7" t="n">
        <v>46388</v>
      </c>
      <c r="I3" s="7"/>
      <c r="J3" s="5"/>
      <c r="K3" s="5" t="s">
        <v>62</v>
      </c>
      <c r="L3" s="8" t="str">
        <f aca="true">IF(B3&amp;C3="","",IF(K3="Hidden","Hidden",IF(AND(H3&lt;&gt;"",H3&gt;TODAY()),"Scheduled",IF(AND(I3&lt;&gt;"",I3&lt;TODAY()),"Expired","Showing"))))</f>
        <v>Scheduled</v>
      </c>
    </row>
    <row r="4" customFormat="false" ht="23.85" hidden="false" customHeight="false" outlineLevel="0" collapsed="false">
      <c r="A4" s="5"/>
      <c r="B4" s="5" t="s">
        <v>89</v>
      </c>
      <c r="C4" s="5" t="s">
        <v>90</v>
      </c>
      <c r="D4" s="9"/>
      <c r="E4" s="5"/>
      <c r="F4" s="5" t="s">
        <v>88</v>
      </c>
      <c r="G4" s="5" t="s">
        <v>61</v>
      </c>
      <c r="H4" s="7" t="n">
        <v>46304</v>
      </c>
      <c r="I4" s="7" t="n">
        <v>46305</v>
      </c>
      <c r="J4" s="5"/>
      <c r="K4" s="5" t="s">
        <v>62</v>
      </c>
      <c r="L4" s="8" t="str">
        <f aca="true">IF(B4&amp;C4="","",IF(K4="Hidden","Hidden",IF(AND(H4&lt;&gt;"",H4&gt;TODAY()),"Scheduled",IF(AND(I4&lt;&gt;"",I4&lt;TODAY()),"Expired","Showing"))))</f>
        <v>Showing</v>
      </c>
    </row>
    <row r="5" customFormat="false" ht="23.85" hidden="false" customHeight="false" outlineLevel="0" collapsed="false">
      <c r="A5" s="5"/>
      <c r="B5" s="5" t="s">
        <v>91</v>
      </c>
      <c r="C5" s="5" t="s">
        <v>92</v>
      </c>
      <c r="D5" s="9"/>
      <c r="E5" s="5"/>
      <c r="F5" s="5" t="s">
        <v>88</v>
      </c>
      <c r="G5" s="5" t="s">
        <v>61</v>
      </c>
      <c r="H5" s="7" t="n">
        <v>46304</v>
      </c>
      <c r="I5" s="7" t="n">
        <v>46387</v>
      </c>
      <c r="J5" s="5"/>
      <c r="K5" s="5" t="s">
        <v>62</v>
      </c>
      <c r="L5" s="8" t="str">
        <f aca="true">IF(B5&amp;C5="","",IF(K5="Hidden","Hidden",IF(AND(H5&lt;&gt;"",H5&gt;TODAY()),"Scheduled",IF(AND(I5&lt;&gt;"",I5&lt;TODAY()),"Expired","Showing"))))</f>
        <v>Showing</v>
      </c>
    </row>
    <row r="6" customFormat="false" ht="23.85" hidden="false" customHeight="false" outlineLevel="0" collapsed="false">
      <c r="A6" s="5" t="s">
        <v>93</v>
      </c>
      <c r="B6" s="5" t="s">
        <v>94</v>
      </c>
      <c r="C6" s="5" t="s">
        <v>95</v>
      </c>
      <c r="D6" s="9" t="n">
        <v>14.95</v>
      </c>
      <c r="E6" s="5"/>
      <c r="F6" s="5" t="s">
        <v>88</v>
      </c>
      <c r="G6" s="5"/>
      <c r="H6" s="7"/>
      <c r="I6" s="7"/>
      <c r="J6" s="5"/>
      <c r="K6" s="5" t="s">
        <v>62</v>
      </c>
      <c r="L6" s="8" t="str">
        <f aca="true">IF(B6&amp;C6="","",IF(K6="Hidden","Hidden",IF(AND(H6&lt;&gt;"",H6&gt;TODAY()),"Scheduled",IF(AND(I6&lt;&gt;"",I6&lt;TODAY()),"Expired","Showing"))))</f>
        <v>Showing</v>
      </c>
    </row>
    <row r="7" customFormat="false" ht="15" hidden="false" customHeight="false" outlineLevel="0" collapsed="false">
      <c r="A7" s="5" t="s">
        <v>93</v>
      </c>
      <c r="B7" s="5" t="s">
        <v>96</v>
      </c>
      <c r="C7" s="5" t="s">
        <v>97</v>
      </c>
      <c r="D7" s="9" t="n">
        <v>13.95</v>
      </c>
      <c r="E7" s="5"/>
      <c r="F7" s="5" t="s">
        <v>88</v>
      </c>
      <c r="G7" s="5"/>
      <c r="H7" s="7"/>
      <c r="I7" s="7"/>
      <c r="J7" s="5"/>
      <c r="K7" s="5" t="s">
        <v>62</v>
      </c>
      <c r="L7" s="8" t="str">
        <f aca="true">IF(B7&amp;C7="","",IF(K7="Hidden","Hidden",IF(AND(H7&lt;&gt;"",H7&gt;TODAY()),"Scheduled",IF(AND(I7&lt;&gt;"",I7&lt;TODAY()),"Expired","Showing"))))</f>
        <v>Showing</v>
      </c>
    </row>
    <row r="8" customFormat="false" ht="15" hidden="false" customHeight="false" outlineLevel="0" collapsed="false">
      <c r="A8" s="5" t="s">
        <v>93</v>
      </c>
      <c r="B8" s="5" t="s">
        <v>98</v>
      </c>
      <c r="C8" s="5" t="s">
        <v>99</v>
      </c>
      <c r="D8" s="9" t="n">
        <v>13.95</v>
      </c>
      <c r="E8" s="5"/>
      <c r="F8" s="5" t="s">
        <v>88</v>
      </c>
      <c r="G8" s="5"/>
      <c r="H8" s="7"/>
      <c r="I8" s="7"/>
      <c r="J8" s="5"/>
      <c r="K8" s="5" t="s">
        <v>62</v>
      </c>
      <c r="L8" s="8" t="str">
        <f aca="true">IF(B8&amp;C8="","",IF(K8="Hidden","Hidden",IF(AND(H8&lt;&gt;"",H8&gt;TODAY()),"Scheduled",IF(AND(I8&lt;&gt;"",I8&lt;TODAY()),"Expired","Showing"))))</f>
        <v>Showing</v>
      </c>
    </row>
    <row r="9" customFormat="false" ht="15" hidden="false" customHeight="false" outlineLevel="0" collapsed="false">
      <c r="A9" s="5" t="s">
        <v>93</v>
      </c>
      <c r="B9" s="5" t="s">
        <v>100</v>
      </c>
      <c r="C9" s="5" t="s">
        <v>101</v>
      </c>
      <c r="D9" s="9" t="n">
        <v>13.95</v>
      </c>
      <c r="E9" s="5"/>
      <c r="F9" s="5" t="s">
        <v>88</v>
      </c>
      <c r="G9" s="5"/>
      <c r="H9" s="7"/>
      <c r="I9" s="7"/>
      <c r="J9" s="5"/>
      <c r="K9" s="5" t="s">
        <v>62</v>
      </c>
      <c r="L9" s="8" t="str">
        <f aca="true">IF(B9&amp;C9="","",IF(K9="Hidden","Hidden",IF(AND(H9&lt;&gt;"",H9&gt;TODAY()),"Scheduled",IF(AND(I9&lt;&gt;"",I9&lt;TODAY()),"Expired","Showing"))))</f>
        <v>Showing</v>
      </c>
    </row>
    <row r="10" customFormat="false" ht="15" hidden="false" customHeight="false" outlineLevel="0" collapsed="false">
      <c r="A10" s="5" t="s">
        <v>93</v>
      </c>
      <c r="B10" s="5" t="s">
        <v>102</v>
      </c>
      <c r="C10" s="5"/>
      <c r="D10" s="9" t="n">
        <v>11.95</v>
      </c>
      <c r="E10" s="5"/>
      <c r="F10" s="5" t="s">
        <v>88</v>
      </c>
      <c r="G10" s="5"/>
      <c r="H10" s="7"/>
      <c r="I10" s="7"/>
      <c r="J10" s="5"/>
      <c r="K10" s="5" t="s">
        <v>62</v>
      </c>
      <c r="L10" s="8" t="str">
        <f aca="true">IF(B10&amp;C10="","",IF(K10="Hidden","Hidden",IF(AND(H10&lt;&gt;"",H10&gt;TODAY()),"Scheduled",IF(AND(I10&lt;&gt;"",I10&lt;TODAY()),"Expired","Showing"))))</f>
        <v>Showing</v>
      </c>
    </row>
    <row r="11" customFormat="false" ht="15" hidden="false" customHeight="false" outlineLevel="0" collapsed="false">
      <c r="A11" s="5" t="s">
        <v>103</v>
      </c>
      <c r="B11" s="5" t="s">
        <v>104</v>
      </c>
      <c r="C11" s="5" t="s">
        <v>105</v>
      </c>
      <c r="D11" s="9" t="n">
        <v>10.95</v>
      </c>
      <c r="E11" s="5" t="s">
        <v>106</v>
      </c>
      <c r="F11" s="5" t="s">
        <v>88</v>
      </c>
      <c r="G11" s="5"/>
      <c r="H11" s="7"/>
      <c r="I11" s="7"/>
      <c r="J11" s="5"/>
      <c r="K11" s="5" t="s">
        <v>62</v>
      </c>
      <c r="L11" s="8" t="str">
        <f aca="true">IF(B11&amp;C11="","",IF(K11="Hidden","Hidden",IF(AND(H11&lt;&gt;"",H11&gt;TODAY()),"Scheduled",IF(AND(I11&lt;&gt;"",I11&lt;TODAY()),"Expired","Showing"))))</f>
        <v>Showing</v>
      </c>
    </row>
    <row r="12" customFormat="false" ht="23.85" hidden="false" customHeight="false" outlineLevel="0" collapsed="false">
      <c r="A12" s="5" t="s">
        <v>103</v>
      </c>
      <c r="B12" s="5" t="s">
        <v>107</v>
      </c>
      <c r="C12" s="5" t="s">
        <v>108</v>
      </c>
      <c r="D12" s="9" t="n">
        <v>13.95</v>
      </c>
      <c r="E12" s="5" t="s">
        <v>106</v>
      </c>
      <c r="F12" s="5" t="s">
        <v>88</v>
      </c>
      <c r="G12" s="5"/>
      <c r="H12" s="7"/>
      <c r="I12" s="7"/>
      <c r="J12" s="5"/>
      <c r="K12" s="5" t="s">
        <v>62</v>
      </c>
      <c r="L12" s="8" t="str">
        <f aca="true">IF(B12&amp;C12="","",IF(K12="Hidden","Hidden",IF(AND(H12&lt;&gt;"",H12&gt;TODAY()),"Scheduled",IF(AND(I12&lt;&gt;"",I12&lt;TODAY()),"Expired","Showing"))))</f>
        <v>Showing</v>
      </c>
    </row>
    <row r="13" customFormat="false" ht="15" hidden="false" customHeight="false" outlineLevel="0" collapsed="false">
      <c r="A13" s="5" t="s">
        <v>109</v>
      </c>
      <c r="B13" s="5"/>
      <c r="C13" s="5" t="s">
        <v>110</v>
      </c>
      <c r="D13" s="9"/>
      <c r="E13" s="5"/>
      <c r="F13" s="5" t="s">
        <v>88</v>
      </c>
      <c r="G13" s="5"/>
      <c r="H13" s="7"/>
      <c r="I13" s="7"/>
      <c r="J13" s="5"/>
      <c r="K13" s="5" t="s">
        <v>62</v>
      </c>
      <c r="L13" s="8" t="str">
        <f aca="true">IF(B13&amp;C13="","",IF(K13="Hidden","Hidden",IF(AND(H13&lt;&gt;"",H13&gt;TODAY()),"Scheduled",IF(AND(I13&lt;&gt;"",I13&lt;TODAY()),"Expired","Showing"))))</f>
        <v>Showing</v>
      </c>
    </row>
    <row r="14" customFormat="false" ht="15" hidden="false" customHeight="false" outlineLevel="0" collapsed="false">
      <c r="A14" s="5" t="s">
        <v>109</v>
      </c>
      <c r="B14" s="5" t="s">
        <v>111</v>
      </c>
      <c r="C14" s="5"/>
      <c r="D14" s="9" t="n">
        <v>13.95</v>
      </c>
      <c r="E14" s="5"/>
      <c r="F14" s="5" t="s">
        <v>88</v>
      </c>
      <c r="G14" s="5"/>
      <c r="H14" s="7"/>
      <c r="I14" s="7"/>
      <c r="J14" s="5"/>
      <c r="K14" s="5" t="s">
        <v>62</v>
      </c>
      <c r="L14" s="8" t="str">
        <f aca="true">IF(B14&amp;C14="","",IF(K14="Hidden","Hidden",IF(AND(H14&lt;&gt;"",H14&gt;TODAY()),"Scheduled",IF(AND(I14&lt;&gt;"",I14&lt;TODAY()),"Expired","Showing"))))</f>
        <v>Showing</v>
      </c>
    </row>
    <row r="15" customFormat="false" ht="15" hidden="false" customHeight="false" outlineLevel="0" collapsed="false">
      <c r="A15" s="5" t="s">
        <v>109</v>
      </c>
      <c r="B15" s="5" t="s">
        <v>112</v>
      </c>
      <c r="C15" s="5"/>
      <c r="D15" s="9" t="n">
        <v>14.95</v>
      </c>
      <c r="E15" s="5"/>
      <c r="F15" s="5" t="s">
        <v>88</v>
      </c>
      <c r="G15" s="5"/>
      <c r="H15" s="7"/>
      <c r="I15" s="7"/>
      <c r="J15" s="5"/>
      <c r="K15" s="5" t="s">
        <v>62</v>
      </c>
      <c r="L15" s="8" t="str">
        <f aca="true">IF(B15&amp;C15="","",IF(K15="Hidden","Hidden",IF(AND(H15&lt;&gt;"",H15&gt;TODAY()),"Scheduled",IF(AND(I15&lt;&gt;"",I15&lt;TODAY()),"Expired","Showing"))))</f>
        <v>Showing</v>
      </c>
    </row>
    <row r="16" customFormat="false" ht="15" hidden="false" customHeight="false" outlineLevel="0" collapsed="false">
      <c r="A16" s="5" t="s">
        <v>109</v>
      </c>
      <c r="B16" s="5" t="s">
        <v>113</v>
      </c>
      <c r="C16" s="5"/>
      <c r="D16" s="9" t="n">
        <v>14.5</v>
      </c>
      <c r="E16" s="5"/>
      <c r="F16" s="5" t="s">
        <v>88</v>
      </c>
      <c r="G16" s="5"/>
      <c r="H16" s="7"/>
      <c r="I16" s="7"/>
      <c r="J16" s="5"/>
      <c r="K16" s="5" t="s">
        <v>62</v>
      </c>
      <c r="L16" s="8" t="str">
        <f aca="true">IF(B16&amp;C16="","",IF(K16="Hidden","Hidden",IF(AND(H16&lt;&gt;"",H16&gt;TODAY()),"Scheduled",IF(AND(I16&lt;&gt;"",I16&lt;TODAY()),"Expired","Showing"))))</f>
        <v>Showing</v>
      </c>
    </row>
    <row r="17" customFormat="false" ht="15" hidden="false" customHeight="false" outlineLevel="0" collapsed="false">
      <c r="A17" s="5" t="s">
        <v>109</v>
      </c>
      <c r="B17" s="5" t="s">
        <v>114</v>
      </c>
      <c r="C17" s="5"/>
      <c r="D17" s="9" t="n">
        <v>15.95</v>
      </c>
      <c r="E17" s="5"/>
      <c r="F17" s="5" t="s">
        <v>88</v>
      </c>
      <c r="G17" s="5"/>
      <c r="H17" s="7"/>
      <c r="I17" s="7"/>
      <c r="J17" s="5"/>
      <c r="K17" s="5" t="s">
        <v>62</v>
      </c>
      <c r="L17" s="8" t="str">
        <f aca="true">IF(B17&amp;C17="","",IF(K17="Hidden","Hidden",IF(AND(H17&lt;&gt;"",H17&gt;TODAY()),"Scheduled",IF(AND(I17&lt;&gt;"",I17&lt;TODAY()),"Expired","Showing"))))</f>
        <v>Showing</v>
      </c>
    </row>
    <row r="18" customFormat="false" ht="15" hidden="false" customHeight="false" outlineLevel="0" collapsed="false">
      <c r="A18" s="5" t="s">
        <v>109</v>
      </c>
      <c r="B18" s="5" t="s">
        <v>115</v>
      </c>
      <c r="C18" s="5" t="s">
        <v>116</v>
      </c>
      <c r="D18" s="9" t="n">
        <v>16.95</v>
      </c>
      <c r="E18" s="5"/>
      <c r="F18" s="5" t="s">
        <v>88</v>
      </c>
      <c r="G18" s="5"/>
      <c r="H18" s="7"/>
      <c r="I18" s="7"/>
      <c r="J18" s="5"/>
      <c r="K18" s="5" t="s">
        <v>62</v>
      </c>
      <c r="L18" s="8" t="str">
        <f aca="true">IF(B18&amp;C18="","",IF(K18="Hidden","Hidden",IF(AND(H18&lt;&gt;"",H18&gt;TODAY()),"Scheduled",IF(AND(I18&lt;&gt;"",I18&lt;TODAY()),"Expired","Showing"))))</f>
        <v>Showing</v>
      </c>
    </row>
    <row r="19" customFormat="false" ht="15" hidden="false" customHeight="false" outlineLevel="0" collapsed="false">
      <c r="A19" s="5" t="s">
        <v>117</v>
      </c>
      <c r="B19" s="5" t="s">
        <v>118</v>
      </c>
      <c r="C19" s="5"/>
      <c r="D19" s="9" t="n">
        <v>5.95</v>
      </c>
      <c r="E19" s="5"/>
      <c r="F19" s="5" t="s">
        <v>88</v>
      </c>
      <c r="G19" s="5"/>
      <c r="H19" s="7"/>
      <c r="I19" s="7"/>
      <c r="J19" s="5"/>
      <c r="K19" s="5" t="s">
        <v>62</v>
      </c>
      <c r="L19" s="8" t="str">
        <f aca="true">IF(B19&amp;C19="","",IF(K19="Hidden","Hidden",IF(AND(H19&lt;&gt;"",H19&gt;TODAY()),"Scheduled",IF(AND(I19&lt;&gt;"",I19&lt;TODAY()),"Expired","Showing"))))</f>
        <v>Showing</v>
      </c>
    </row>
    <row r="20" customFormat="false" ht="15" hidden="false" customHeight="false" outlineLevel="0" collapsed="false">
      <c r="A20" s="5" t="s">
        <v>117</v>
      </c>
      <c r="B20" s="5" t="s">
        <v>119</v>
      </c>
      <c r="C20" s="5"/>
      <c r="D20" s="9" t="n">
        <v>5.95</v>
      </c>
      <c r="E20" s="5"/>
      <c r="F20" s="5" t="s">
        <v>88</v>
      </c>
      <c r="G20" s="5"/>
      <c r="H20" s="7"/>
      <c r="I20" s="7"/>
      <c r="J20" s="5"/>
      <c r="K20" s="5" t="s">
        <v>62</v>
      </c>
      <c r="L20" s="8" t="str">
        <f aca="true">IF(B20&amp;C20="","",IF(K20="Hidden","Hidden",IF(AND(H20&lt;&gt;"",H20&gt;TODAY()),"Scheduled",IF(AND(I20&lt;&gt;"",I20&lt;TODAY()),"Expired","Showing"))))</f>
        <v>Showing</v>
      </c>
    </row>
    <row r="21" customFormat="false" ht="15" hidden="false" customHeight="false" outlineLevel="0" collapsed="false">
      <c r="A21" s="5" t="s">
        <v>117</v>
      </c>
      <c r="B21" s="5" t="s">
        <v>120</v>
      </c>
      <c r="C21" s="5"/>
      <c r="D21" s="9" t="n">
        <v>5.95</v>
      </c>
      <c r="E21" s="5"/>
      <c r="F21" s="5" t="s">
        <v>88</v>
      </c>
      <c r="G21" s="5"/>
      <c r="H21" s="7"/>
      <c r="I21" s="7"/>
      <c r="J21" s="5"/>
      <c r="K21" s="5" t="s">
        <v>62</v>
      </c>
      <c r="L21" s="8" t="str">
        <f aca="true">IF(B21&amp;C21="","",IF(K21="Hidden","Hidden",IF(AND(H21&lt;&gt;"",H21&gt;TODAY()),"Scheduled",IF(AND(I21&lt;&gt;"",I21&lt;TODAY()),"Expired","Showing"))))</f>
        <v>Showing</v>
      </c>
    </row>
    <row r="22" customFormat="false" ht="15" hidden="false" customHeight="false" outlineLevel="0" collapsed="false">
      <c r="A22" s="5" t="s">
        <v>72</v>
      </c>
      <c r="B22" s="5" t="s">
        <v>121</v>
      </c>
      <c r="C22" s="5"/>
      <c r="D22" s="9"/>
      <c r="E22" s="5"/>
      <c r="F22" s="5" t="s">
        <v>122</v>
      </c>
      <c r="G22" s="5"/>
      <c r="H22" s="7"/>
      <c r="I22" s="7"/>
      <c r="J22" s="5"/>
      <c r="K22" s="5" t="s">
        <v>62</v>
      </c>
      <c r="L22" s="8" t="str">
        <f aca="true">IF(B22&amp;C22="","",IF(K22="Hidden","Hidden",IF(AND(H22&lt;&gt;"",H22&gt;TODAY()),"Scheduled",IF(AND(I22&lt;&gt;"",I22&lt;TODAY()),"Expired","Showing"))))</f>
        <v>Showing</v>
      </c>
    </row>
    <row r="23" customFormat="false" ht="15" hidden="false" customHeight="false" outlineLevel="0" collapsed="false">
      <c r="A23" s="5" t="s">
        <v>72</v>
      </c>
      <c r="B23" s="5" t="s">
        <v>123</v>
      </c>
      <c r="C23" s="5"/>
      <c r="D23" s="9"/>
      <c r="E23" s="5"/>
      <c r="F23" s="5" t="s">
        <v>122</v>
      </c>
      <c r="G23" s="5"/>
      <c r="H23" s="7"/>
      <c r="I23" s="7"/>
      <c r="J23" s="5"/>
      <c r="K23" s="5" t="s">
        <v>62</v>
      </c>
      <c r="L23" s="8" t="str">
        <f aca="true">IF(B23&amp;C23="","",IF(K23="Hidden","Hidden",IF(AND(H23&lt;&gt;"",H23&gt;TODAY()),"Scheduled",IF(AND(I23&lt;&gt;"",I23&lt;TODAY()),"Expired","Showing"))))</f>
        <v>Showing</v>
      </c>
    </row>
    <row r="24" customFormat="false" ht="15" hidden="false" customHeight="false" outlineLevel="0" collapsed="false">
      <c r="A24" s="5" t="s">
        <v>72</v>
      </c>
      <c r="B24" s="5" t="s">
        <v>124</v>
      </c>
      <c r="C24" s="5"/>
      <c r="D24" s="9"/>
      <c r="E24" s="5"/>
      <c r="F24" s="5" t="s">
        <v>122</v>
      </c>
      <c r="G24" s="5"/>
      <c r="H24" s="7"/>
      <c r="I24" s="7"/>
      <c r="J24" s="5"/>
      <c r="K24" s="5" t="s">
        <v>62</v>
      </c>
      <c r="L24" s="8" t="str">
        <f aca="true">IF(B24&amp;C24="","",IF(K24="Hidden","Hidden",IF(AND(H24&lt;&gt;"",H24&gt;TODAY()),"Scheduled",IF(AND(I24&lt;&gt;"",I24&lt;TODAY()),"Expired","Showing"))))</f>
        <v>Showing</v>
      </c>
    </row>
    <row r="25" customFormat="false" ht="15" hidden="false" customHeight="false" outlineLevel="0" collapsed="false">
      <c r="A25" s="5" t="s">
        <v>72</v>
      </c>
      <c r="B25" s="5" t="s">
        <v>125</v>
      </c>
      <c r="C25" s="5"/>
      <c r="D25" s="9"/>
      <c r="E25" s="5" t="s">
        <v>106</v>
      </c>
      <c r="F25" s="5" t="s">
        <v>122</v>
      </c>
      <c r="G25" s="5"/>
      <c r="H25" s="7"/>
      <c r="I25" s="7"/>
      <c r="J25" s="5"/>
      <c r="K25" s="5" t="s">
        <v>62</v>
      </c>
      <c r="L25" s="8" t="str">
        <f aca="true">IF(B25&amp;C25="","",IF(K25="Hidden","Hidden",IF(AND(H25&lt;&gt;"",H25&gt;TODAY()),"Scheduled",IF(AND(I25&lt;&gt;"",I25&lt;TODAY()),"Expired","Showing"))))</f>
        <v>Showing</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77</v>
      </c>
      <c r="B1" s="4" t="s">
        <v>78</v>
      </c>
      <c r="C1" s="4" t="s">
        <v>79</v>
      </c>
      <c r="D1" s="4" t="s">
        <v>80</v>
      </c>
      <c r="E1" s="4" t="s">
        <v>126</v>
      </c>
      <c r="F1" s="4" t="s">
        <v>127</v>
      </c>
      <c r="G1" s="4" t="s">
        <v>128</v>
      </c>
      <c r="H1" s="4" t="s">
        <v>129</v>
      </c>
      <c r="I1" s="4" t="s">
        <v>130</v>
      </c>
      <c r="J1" s="4" t="s">
        <v>84</v>
      </c>
      <c r="K1" s="4" t="s">
        <v>85</v>
      </c>
      <c r="L1" s="4" t="s">
        <v>46</v>
      </c>
      <c r="M1" s="4" t="s">
        <v>58</v>
      </c>
      <c r="N1" s="4" t="s">
        <v>59</v>
      </c>
    </row>
    <row r="2" customFormat="false" ht="23.85" hidden="false" customHeight="false" outlineLevel="0" collapsed="false">
      <c r="A2" s="5" t="s">
        <v>131</v>
      </c>
      <c r="B2" s="5" t="s">
        <v>132</v>
      </c>
      <c r="C2" s="5" t="s">
        <v>133</v>
      </c>
      <c r="D2" s="9"/>
      <c r="E2" s="9"/>
      <c r="F2" s="9"/>
      <c r="G2" s="9"/>
      <c r="H2" s="9"/>
      <c r="I2" s="5"/>
      <c r="J2" s="7"/>
      <c r="K2" s="7"/>
      <c r="L2" s="5"/>
      <c r="M2" s="5" t="s">
        <v>62</v>
      </c>
      <c r="N2" s="8" t="str">
        <f aca="true">IF(B2&amp;C2="","",IF(M2="Hidden","Hidden",IF(AND(J2&lt;&gt;"",J2&gt;TODAY()),"Scheduled",IF(AND(K2&lt;&gt;"",K2&lt;TODAY()),"Expired","Showing"))))</f>
        <v>Showing</v>
      </c>
    </row>
    <row r="3" customFormat="false" ht="15" hidden="false" customHeight="false" outlineLevel="0" collapsed="false">
      <c r="A3" s="5" t="s">
        <v>134</v>
      </c>
      <c r="B3" s="5" t="s">
        <v>135</v>
      </c>
      <c r="C3" s="5" t="s">
        <v>136</v>
      </c>
      <c r="D3" s="9"/>
      <c r="E3" s="9"/>
      <c r="F3" s="9"/>
      <c r="G3" s="9"/>
      <c r="H3" s="9"/>
      <c r="I3" s="5"/>
      <c r="J3" s="7"/>
      <c r="K3" s="7"/>
      <c r="L3" s="5"/>
      <c r="M3" s="5" t="s">
        <v>62</v>
      </c>
      <c r="N3" s="8" t="str">
        <f aca="true">IF(B3&amp;C3="","",IF(M3="Hidden","Hidden",IF(AND(J3&lt;&gt;"",J3&gt;TODAY()),"Scheduled",IF(AND(K3&lt;&gt;"",K3&lt;TODAY()),"Expired","Showing"))))</f>
        <v>Showing</v>
      </c>
    </row>
    <row r="4" customFormat="false" ht="15" hidden="false" customHeight="false" outlineLevel="0" collapsed="false">
      <c r="A4" s="5" t="s">
        <v>137</v>
      </c>
      <c r="B4" s="5" t="s">
        <v>138</v>
      </c>
      <c r="C4" s="5" t="s">
        <v>139</v>
      </c>
      <c r="D4" s="9"/>
      <c r="E4" s="9"/>
      <c r="F4" s="9"/>
      <c r="G4" s="9"/>
      <c r="H4" s="9"/>
      <c r="I4" s="5"/>
      <c r="J4" s="7"/>
      <c r="K4" s="7"/>
      <c r="L4" s="5"/>
      <c r="M4" s="5" t="s">
        <v>62</v>
      </c>
      <c r="N4" s="8" t="str">
        <f aca="true">IF(B4&amp;C4="","",IF(M4="Hidden","Hidden",IF(AND(J4&lt;&gt;"",J4&gt;TODAY()),"Scheduled",IF(AND(K4&lt;&gt;"",K4&lt;TODAY()),"Expired","Showing"))))</f>
        <v>Showing</v>
      </c>
    </row>
    <row r="5" customFormat="false" ht="23.85" hidden="false" customHeight="false" outlineLevel="0" collapsed="false">
      <c r="A5" s="5" t="s">
        <v>137</v>
      </c>
      <c r="B5" s="5" t="s">
        <v>140</v>
      </c>
      <c r="C5" s="5" t="s">
        <v>141</v>
      </c>
      <c r="D5" s="9"/>
      <c r="E5" s="9"/>
      <c r="F5" s="9"/>
      <c r="G5" s="9"/>
      <c r="H5" s="9"/>
      <c r="I5" s="5"/>
      <c r="J5" s="7"/>
      <c r="K5" s="7"/>
      <c r="L5" s="5"/>
      <c r="M5" s="5" t="s">
        <v>62</v>
      </c>
      <c r="N5" s="8" t="str">
        <f aca="true">IF(B5&amp;C5="","",IF(M5="Hidden","Hidden",IF(AND(J5&lt;&gt;"",J5&gt;TODAY()),"Scheduled",IF(AND(K5&lt;&gt;"",K5&lt;TODAY()),"Expired","Showing"))))</f>
        <v>Showing</v>
      </c>
    </row>
    <row r="6" customFormat="false" ht="23.85" hidden="false" customHeight="false" outlineLevel="0" collapsed="false">
      <c r="A6" s="5" t="s">
        <v>137</v>
      </c>
      <c r="B6" s="5" t="s">
        <v>142</v>
      </c>
      <c r="C6" s="5" t="s">
        <v>143</v>
      </c>
      <c r="D6" s="9"/>
      <c r="E6" s="9"/>
      <c r="F6" s="9"/>
      <c r="G6" s="9"/>
      <c r="H6" s="9"/>
      <c r="I6" s="5"/>
      <c r="J6" s="7"/>
      <c r="K6" s="7"/>
      <c r="L6" s="5"/>
      <c r="M6" s="5" t="s">
        <v>62</v>
      </c>
      <c r="N6" s="8" t="str">
        <f aca="true">IF(B6&amp;C6="","",IF(M6="Hidden","Hidden",IF(AND(J6&lt;&gt;"",J6&gt;TODAY()),"Scheduled",IF(AND(K6&lt;&gt;"",K6&lt;TODAY()),"Expired","Showing"))))</f>
        <v>Showing</v>
      </c>
    </row>
    <row r="7" customFormat="false" ht="23.85" hidden="false" customHeight="false" outlineLevel="0" collapsed="false">
      <c r="A7" s="5" t="s">
        <v>137</v>
      </c>
      <c r="B7" s="5" t="s">
        <v>144</v>
      </c>
      <c r="C7" s="5"/>
      <c r="D7" s="9"/>
      <c r="E7" s="9"/>
      <c r="F7" s="9"/>
      <c r="G7" s="9"/>
      <c r="H7" s="9"/>
      <c r="I7" s="5"/>
      <c r="J7" s="7"/>
      <c r="K7" s="7"/>
      <c r="L7" s="5"/>
      <c r="M7" s="5" t="s">
        <v>62</v>
      </c>
      <c r="N7" s="8" t="str">
        <f aca="true">IF(B7&amp;C7="","",IF(M7="Hidden","Hidden",IF(AND(J7&lt;&gt;"",J7&gt;TODAY()),"Scheduled",IF(AND(K7&lt;&gt;"",K7&lt;TODAY()),"Expired","Showing"))))</f>
        <v>Showing</v>
      </c>
    </row>
    <row r="8" customFormat="false" ht="23.85" hidden="false" customHeight="false" outlineLevel="0" collapsed="false">
      <c r="A8" s="5" t="s">
        <v>145</v>
      </c>
      <c r="B8" s="5" t="s">
        <v>146</v>
      </c>
      <c r="C8" s="5" t="s">
        <v>147</v>
      </c>
      <c r="D8" s="9"/>
      <c r="E8" s="9"/>
      <c r="F8" s="9"/>
      <c r="G8" s="9"/>
      <c r="H8" s="9"/>
      <c r="I8" s="5"/>
      <c r="J8" s="7"/>
      <c r="K8" s="7"/>
      <c r="L8" s="5"/>
      <c r="M8" s="5" t="s">
        <v>62</v>
      </c>
      <c r="N8" s="8" t="str">
        <f aca="true">IF(B8&amp;C8="","",IF(M8="Hidden","Hidden",IF(AND(J8&lt;&gt;"",J8&gt;TODAY()),"Scheduled",IF(AND(K8&lt;&gt;"",K8&lt;TODAY()),"Expired","Showing"))))</f>
        <v>Showing</v>
      </c>
    </row>
    <row r="9" customFormat="false" ht="15" hidden="false" customHeight="false" outlineLevel="0" collapsed="false">
      <c r="A9" s="5" t="s">
        <v>145</v>
      </c>
      <c r="B9" s="5" t="s">
        <v>148</v>
      </c>
      <c r="C9" s="5" t="s">
        <v>149</v>
      </c>
      <c r="D9" s="9"/>
      <c r="E9" s="9"/>
      <c r="F9" s="9"/>
      <c r="G9" s="9"/>
      <c r="H9" s="9"/>
      <c r="I9" s="5"/>
      <c r="J9" s="7"/>
      <c r="K9" s="7"/>
      <c r="L9" s="5"/>
      <c r="M9" s="5" t="s">
        <v>62</v>
      </c>
      <c r="N9" s="8" t="str">
        <f aca="true">IF(B9&amp;C9="","",IF(M9="Hidden","Hidden",IF(AND(J9&lt;&gt;"",J9&gt;TODAY()),"Scheduled",IF(AND(K9&lt;&gt;"",K9&lt;TODAY()),"Expired","Showing"))))</f>
        <v>Showing</v>
      </c>
    </row>
    <row r="10" customFormat="false" ht="15" hidden="false" customHeight="false" outlineLevel="0" collapsed="false">
      <c r="A10" s="5" t="s">
        <v>145</v>
      </c>
      <c r="B10" s="5" t="s">
        <v>150</v>
      </c>
      <c r="C10" s="5" t="s">
        <v>151</v>
      </c>
      <c r="D10" s="9"/>
      <c r="E10" s="9"/>
      <c r="F10" s="9"/>
      <c r="G10" s="9"/>
      <c r="H10" s="9"/>
      <c r="I10" s="5"/>
      <c r="J10" s="7"/>
      <c r="K10" s="7"/>
      <c r="L10" s="5"/>
      <c r="M10" s="5" t="s">
        <v>62</v>
      </c>
      <c r="N10" s="8" t="str">
        <f aca="true">IF(B10&amp;C10="","",IF(M10="Hidden","Hidden",IF(AND(J10&lt;&gt;"",J10&gt;TODAY()),"Scheduled",IF(AND(K10&lt;&gt;"",K10&lt;TODAY()),"Expired","Showing"))))</f>
        <v>Showing</v>
      </c>
    </row>
    <row r="11" customFormat="false" ht="23.85" hidden="false" customHeight="false" outlineLevel="0" collapsed="false">
      <c r="A11" s="5" t="s">
        <v>145</v>
      </c>
      <c r="B11" s="5" t="s">
        <v>152</v>
      </c>
      <c r="C11" s="5" t="s">
        <v>153</v>
      </c>
      <c r="D11" s="9"/>
      <c r="E11" s="9"/>
      <c r="F11" s="9"/>
      <c r="G11" s="9"/>
      <c r="H11" s="9"/>
      <c r="I11" s="5"/>
      <c r="J11" s="7"/>
      <c r="K11" s="7"/>
      <c r="L11" s="5"/>
      <c r="M11" s="5" t="s">
        <v>62</v>
      </c>
      <c r="N11" s="8" t="str">
        <f aca="true">IF(B11&amp;C11="","",IF(M11="Hidden","Hidden",IF(AND(J11&lt;&gt;"",J11&gt;TODAY()),"Scheduled",IF(AND(K11&lt;&gt;"",K11&lt;TODAY()),"Expired","Showing"))))</f>
        <v>Showing</v>
      </c>
    </row>
    <row r="12" customFormat="false" ht="15" hidden="false" customHeight="false" outlineLevel="0" collapsed="false">
      <c r="A12" s="5" t="s">
        <v>154</v>
      </c>
      <c r="B12" s="5" t="s">
        <v>155</v>
      </c>
      <c r="C12" s="5" t="s">
        <v>156</v>
      </c>
      <c r="D12" s="9"/>
      <c r="E12" s="9"/>
      <c r="F12" s="9"/>
      <c r="G12" s="9"/>
      <c r="H12" s="9"/>
      <c r="I12" s="5"/>
      <c r="J12" s="7"/>
      <c r="K12" s="7"/>
      <c r="L12" s="5"/>
      <c r="M12" s="5" t="s">
        <v>62</v>
      </c>
      <c r="N12" s="8" t="str">
        <f aca="true">IF(B12&amp;C12="","",IF(M12="Hidden","Hidden",IF(AND(J12&lt;&gt;"",J12&gt;TODAY()),"Scheduled",IF(AND(K12&lt;&gt;"",K12&lt;TODAY()),"Expired","Showing"))))</f>
        <v>Showing</v>
      </c>
    </row>
    <row r="13" customFormat="false" ht="23.85" hidden="false" customHeight="false" outlineLevel="0" collapsed="false">
      <c r="A13" s="5" t="s">
        <v>154</v>
      </c>
      <c r="B13" s="5" t="s">
        <v>157</v>
      </c>
      <c r="C13" s="5" t="s">
        <v>158</v>
      </c>
      <c r="D13" s="9"/>
      <c r="E13" s="9"/>
      <c r="F13" s="9"/>
      <c r="G13" s="9"/>
      <c r="H13" s="9"/>
      <c r="I13" s="5"/>
      <c r="J13" s="7"/>
      <c r="K13" s="7"/>
      <c r="L13" s="5"/>
      <c r="M13" s="5" t="s">
        <v>62</v>
      </c>
      <c r="N13" s="8" t="str">
        <f aca="true">IF(B13&amp;C13="","",IF(M13="Hidden","Hidden",IF(AND(J13&lt;&gt;"",J13&gt;TODAY()),"Scheduled",IF(AND(K13&lt;&gt;"",K13&lt;TODAY()),"Expired","Showing"))))</f>
        <v>Showing</v>
      </c>
    </row>
    <row r="14" customFormat="false" ht="23.85" hidden="false" customHeight="false" outlineLevel="0" collapsed="false">
      <c r="A14" s="5" t="s">
        <v>159</v>
      </c>
      <c r="B14" s="5" t="s">
        <v>160</v>
      </c>
      <c r="C14" s="5" t="s">
        <v>161</v>
      </c>
      <c r="D14" s="9"/>
      <c r="E14" s="9"/>
      <c r="F14" s="9"/>
      <c r="G14" s="9"/>
      <c r="H14" s="9"/>
      <c r="I14" s="5"/>
      <c r="J14" s="7"/>
      <c r="K14" s="7"/>
      <c r="L14" s="5"/>
      <c r="M14" s="5" t="s">
        <v>62</v>
      </c>
      <c r="N14" s="8" t="str">
        <f aca="true">IF(B14&amp;C14="","",IF(M14="Hidden","Hidden",IF(AND(J14&lt;&gt;"",J14&gt;TODAY()),"Scheduled",IF(AND(K14&lt;&gt;"",K14&lt;TODAY()),"Expired","Showing"))))</f>
        <v>Showing</v>
      </c>
    </row>
    <row r="15" customFormat="false" ht="23.85" hidden="false" customHeight="false" outlineLevel="0" collapsed="false">
      <c r="A15" s="5" t="s">
        <v>162</v>
      </c>
      <c r="B15" s="5" t="s">
        <v>163</v>
      </c>
      <c r="C15" s="5" t="s">
        <v>164</v>
      </c>
      <c r="D15" s="9"/>
      <c r="E15" s="9"/>
      <c r="F15" s="9"/>
      <c r="G15" s="9"/>
      <c r="H15" s="9"/>
      <c r="I15" s="5"/>
      <c r="J15" s="7"/>
      <c r="K15" s="7"/>
      <c r="L15" s="5"/>
      <c r="M15" s="5" t="s">
        <v>62</v>
      </c>
      <c r="N15" s="8" t="str">
        <f aca="true">IF(B15&amp;C15="","",IF(M15="Hidden","Hidden",IF(AND(J15&lt;&gt;"",J15&gt;TODAY()),"Scheduled",IF(AND(K15&lt;&gt;"",K15&lt;TODAY()),"Expired","Showing"))))</f>
        <v>Showing</v>
      </c>
    </row>
    <row r="16" customFormat="false" ht="23.85" hidden="false" customHeight="false" outlineLevel="0" collapsed="false">
      <c r="A16" s="5" t="s">
        <v>162</v>
      </c>
      <c r="B16" s="5" t="s">
        <v>165</v>
      </c>
      <c r="C16" s="5" t="s">
        <v>166</v>
      </c>
      <c r="D16" s="9"/>
      <c r="E16" s="9"/>
      <c r="F16" s="9"/>
      <c r="G16" s="9"/>
      <c r="H16" s="9"/>
      <c r="I16" s="5"/>
      <c r="J16" s="7"/>
      <c r="K16" s="7"/>
      <c r="L16" s="5"/>
      <c r="M16" s="5" t="s">
        <v>62</v>
      </c>
      <c r="N16" s="8" t="str">
        <f aca="true">IF(B16&amp;C16="","",IF(M16="Hidden","Hidden",IF(AND(J16&lt;&gt;"",J16&gt;TODAY()),"Scheduled",IF(AND(K16&lt;&gt;"",K16&lt;TODAY()),"Expired","Showing"))))</f>
        <v>Showing</v>
      </c>
    </row>
    <row r="17" customFormat="false" ht="15" hidden="false" customHeight="false" outlineLevel="0" collapsed="false">
      <c r="A17" s="5" t="s">
        <v>167</v>
      </c>
      <c r="B17" s="5" t="s">
        <v>168</v>
      </c>
      <c r="C17" s="5"/>
      <c r="D17" s="9"/>
      <c r="E17" s="9"/>
      <c r="F17" s="9"/>
      <c r="G17" s="9"/>
      <c r="H17" s="9"/>
      <c r="I17" s="5"/>
      <c r="J17" s="7"/>
      <c r="K17" s="7"/>
      <c r="L17" s="5"/>
      <c r="M17" s="5" t="s">
        <v>62</v>
      </c>
      <c r="N17" s="8" t="str">
        <f aca="true">IF(B17&amp;C17="","",IF(M17="Hidden","Hidden",IF(AND(J17&lt;&gt;"",J17&gt;TODAY()),"Scheduled",IF(AND(K17&lt;&gt;"",K17&lt;TODAY()),"Expired","Showing"))))</f>
        <v>Showing</v>
      </c>
    </row>
    <row r="18" customFormat="false" ht="15" hidden="false" customHeight="false" outlineLevel="0" collapsed="false">
      <c r="A18" s="5" t="s">
        <v>167</v>
      </c>
      <c r="B18" s="5" t="s">
        <v>169</v>
      </c>
      <c r="C18" s="5"/>
      <c r="D18" s="9"/>
      <c r="E18" s="9"/>
      <c r="F18" s="9"/>
      <c r="G18" s="9"/>
      <c r="H18" s="9"/>
      <c r="I18" s="5"/>
      <c r="J18" s="7"/>
      <c r="K18" s="7"/>
      <c r="L18" s="5"/>
      <c r="M18" s="5" t="s">
        <v>62</v>
      </c>
      <c r="N18" s="8" t="str">
        <f aca="true">IF(B18&amp;C18="","",IF(M18="Hidden","Hidden",IF(AND(J18&lt;&gt;"",J18&gt;TODAY()),"Scheduled",IF(AND(K18&lt;&gt;"",K18&lt;TODAY()),"Expired","Showing"))))</f>
        <v>Showing</v>
      </c>
    </row>
    <row r="19" customFormat="false" ht="15" hidden="false" customHeight="false" outlineLevel="0" collapsed="false">
      <c r="A19" s="5" t="s">
        <v>167</v>
      </c>
      <c r="B19" s="5" t="s">
        <v>170</v>
      </c>
      <c r="C19" s="5"/>
      <c r="D19" s="9"/>
      <c r="E19" s="9"/>
      <c r="F19" s="9"/>
      <c r="G19" s="9"/>
      <c r="H19" s="9"/>
      <c r="I19" s="5"/>
      <c r="J19" s="7"/>
      <c r="K19" s="7"/>
      <c r="L19" s="5"/>
      <c r="M19" s="5" t="s">
        <v>62</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171</v>
      </c>
      <c r="B1" s="4" t="s">
        <v>84</v>
      </c>
      <c r="C1" s="4" t="s">
        <v>85</v>
      </c>
      <c r="D1" s="4" t="s">
        <v>58</v>
      </c>
      <c r="E1" s="4" t="s">
        <v>59</v>
      </c>
    </row>
    <row r="2" customFormat="false" ht="15" hidden="false" customHeight="false" outlineLevel="0" collapsed="false">
      <c r="A2" s="5" t="s">
        <v>172</v>
      </c>
      <c r="B2" s="7" t="n">
        <v>46304</v>
      </c>
      <c r="C2" s="7" t="n">
        <v>46305</v>
      </c>
      <c r="D2" s="5" t="s">
        <v>62</v>
      </c>
      <c r="E2" s="8" t="str">
        <f aca="true">IF(A2="","",IF(D2="Hidden","Hidden",IF(AND(B2&lt;&gt;"",B2&gt;TODAY()),"Scheduled",IF(AND(C2&lt;&gt;"",C2&lt;TODAY()),"Expired","Showing"))))</f>
        <v>Showing</v>
      </c>
    </row>
    <row r="3" customFormat="false" ht="15" hidden="false" customHeight="false" outlineLevel="0" collapsed="false">
      <c r="A3" s="5" t="s">
        <v>173</v>
      </c>
      <c r="B3" s="7" t="n">
        <v>46357</v>
      </c>
      <c r="C3" s="7" t="n">
        <v>46381</v>
      </c>
      <c r="D3" s="5" t="s">
        <v>62</v>
      </c>
      <c r="E3" s="8" t="str">
        <f aca="true">IF(A3="","",IF(D3="Hidden","Hidden",IF(AND(B3&lt;&gt;"",B3&gt;TODAY()),"Scheduled",IF(AND(C3&lt;&gt;"",C3&lt;TODAY()),"Expired","Showing"))))</f>
        <v>Scheduled</v>
      </c>
    </row>
    <row r="4" customFormat="false" ht="23.85" hidden="false" customHeight="false" outlineLevel="0" collapsed="false">
      <c r="A4" s="5" t="s">
        <v>174</v>
      </c>
      <c r="B4" s="7" t="n">
        <v>46357</v>
      </c>
      <c r="C4" s="7" t="n">
        <v>46387</v>
      </c>
      <c r="D4" s="5" t="s">
        <v>62</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175</v>
      </c>
      <c r="B1" s="4" t="s">
        <v>176</v>
      </c>
      <c r="C1" s="4" t="s">
        <v>177</v>
      </c>
      <c r="D1" s="4" t="s">
        <v>178</v>
      </c>
      <c r="E1" s="4" t="s">
        <v>79</v>
      </c>
      <c r="F1" s="4" t="s">
        <v>179</v>
      </c>
      <c r="G1" s="4" t="s">
        <v>180</v>
      </c>
      <c r="H1" s="4" t="s">
        <v>84</v>
      </c>
      <c r="I1" s="4" t="s">
        <v>58</v>
      </c>
      <c r="J1" s="4" t="s">
        <v>59</v>
      </c>
    </row>
    <row r="2" customFormat="false" ht="35.05" hidden="false" customHeight="false" outlineLevel="0" collapsed="false">
      <c r="A2" s="5" t="s">
        <v>181</v>
      </c>
      <c r="B2" s="7" t="n">
        <v>46387</v>
      </c>
      <c r="C2" s="7"/>
      <c r="D2" s="5"/>
      <c r="E2" s="5" t="s">
        <v>182</v>
      </c>
      <c r="F2" s="5"/>
      <c r="G2" s="5" t="s">
        <v>183</v>
      </c>
      <c r="H2" s="7" t="n">
        <v>46304</v>
      </c>
      <c r="I2" s="5" t="s">
        <v>62</v>
      </c>
      <c r="J2" s="8" t="str">
        <f aca="true">IF(A2="","",IF(I2="Hidden","Hidden",IF(AND(H2&lt;&gt;"",H2&gt;TODAY()),"Scheduled",IF(IF(C2&lt;&gt;"",C2,B2)&lt;TODAY(),"Expired","Showing"))))</f>
        <v>Showing</v>
      </c>
    </row>
    <row r="3" customFormat="false" ht="23.85" hidden="false" customHeight="false" outlineLevel="0" collapsed="false">
      <c r="A3" s="5" t="s">
        <v>184</v>
      </c>
      <c r="B3" s="7" t="n">
        <v>46564</v>
      </c>
      <c r="C3" s="7"/>
      <c r="D3" s="5" t="s">
        <v>185</v>
      </c>
      <c r="E3" s="5" t="s">
        <v>186</v>
      </c>
      <c r="F3" s="5"/>
      <c r="G3" s="5" t="s">
        <v>187</v>
      </c>
      <c r="H3" s="7" t="n">
        <v>46508</v>
      </c>
      <c r="I3" s="5" t="s">
        <v>76</v>
      </c>
      <c r="J3" s="8" t="str">
        <f aca="true">IF(A3="","",IF(I3="Hidden","Hidden",IF(AND(H3&lt;&gt;"",H3&gt;TODAY()),"Scheduled",IF(IF(C3&lt;&gt;"",C3,B3)&lt;TODAY(),"Expired","Showing"))))</f>
        <v>Hidden</v>
      </c>
    </row>
    <row r="4" customFormat="false" ht="23.85" hidden="false" customHeight="false" outlineLevel="0" collapsed="false">
      <c r="A4" s="5" t="s">
        <v>188</v>
      </c>
      <c r="B4" s="7" t="n">
        <v>46592</v>
      </c>
      <c r="C4" s="7"/>
      <c r="D4" s="5" t="s">
        <v>189</v>
      </c>
      <c r="E4" s="5" t="s">
        <v>190</v>
      </c>
      <c r="F4" s="5" t="s">
        <v>61</v>
      </c>
      <c r="G4" s="5" t="s">
        <v>191</v>
      </c>
      <c r="H4" s="7" t="n">
        <v>46553</v>
      </c>
      <c r="I4" s="5" t="s">
        <v>76</v>
      </c>
      <c r="J4" s="8" t="str">
        <f aca="true">IF(A4="","",IF(I4="Hidden","Hidden",IF(AND(H4&lt;&gt;"",H4&gt;TODAY()),"Scheduled",IF(IF(C4&lt;&gt;"",C4,B4)&lt;TODAY(),"Expired","Showing"))))</f>
        <v>Hidden</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192</v>
      </c>
      <c r="B1" s="4" t="s">
        <v>193</v>
      </c>
      <c r="C1" s="4" t="s">
        <v>171</v>
      </c>
      <c r="D1" s="4" t="s">
        <v>194</v>
      </c>
      <c r="E1" s="4" t="s">
        <v>195</v>
      </c>
      <c r="F1" s="4" t="s">
        <v>196</v>
      </c>
      <c r="G1" s="4" t="s">
        <v>84</v>
      </c>
      <c r="H1" s="4" t="s">
        <v>85</v>
      </c>
      <c r="I1" s="4" t="s">
        <v>58</v>
      </c>
      <c r="J1" s="4" t="s">
        <v>59</v>
      </c>
    </row>
    <row r="2" customFormat="false" ht="23.85" hidden="false" customHeight="false" outlineLevel="0" collapsed="false">
      <c r="A2" s="5" t="s">
        <v>197</v>
      </c>
      <c r="B2" s="5" t="s">
        <v>198</v>
      </c>
      <c r="C2" s="5" t="s">
        <v>199</v>
      </c>
      <c r="D2" s="5" t="s">
        <v>200</v>
      </c>
      <c r="E2" s="5" t="s">
        <v>201</v>
      </c>
      <c r="F2" s="5" t="s">
        <v>202</v>
      </c>
      <c r="G2" s="7" t="n">
        <v>46304</v>
      </c>
      <c r="H2" s="7" t="n">
        <v>46387</v>
      </c>
      <c r="I2" s="5" t="s">
        <v>62</v>
      </c>
      <c r="J2" s="8" t="str">
        <f aca="true">IF(B2="","",IF(I2="Hidden","Hidden",IF(AND(G2&lt;&gt;"",G2&gt;TODAY()),"Scheduled",IF(AND(H2&lt;&gt;"",H2&lt;TODAY()),"Expired","Showing"))))</f>
        <v>Showing</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9"/>
    <col collapsed="false" customWidth="true" hidden="false" outlineLevel="0" max="4" min="4" style="0" width="11"/>
    <col collapsed="false" customWidth="true" hidden="false" outlineLevel="0" max="6" min="5" style="0" width="16"/>
    <col collapsed="false" customWidth="true" hidden="false" outlineLevel="0" max="7" min="7" style="0" width="70"/>
    <col collapsed="false" customWidth="true" hidden="false" outlineLevel="0" max="8" min="8" style="0" width="16"/>
    <col collapsed="false" customWidth="true" hidden="false" outlineLevel="0" max="9" min="9" style="0" width="44"/>
    <col collapsed="false" customWidth="true" hidden="false" outlineLevel="0" max="11" min="10" style="0" width="13"/>
    <col collapsed="false" customWidth="true" hidden="false" outlineLevel="0" max="12" min="12" style="0" width="11"/>
    <col collapsed="false" customWidth="true" hidden="false" outlineLevel="0" max="13" min="13" style="0" width="15"/>
  </cols>
  <sheetData>
    <row r="1" customFormat="false" ht="24" hidden="false" customHeight="true" outlineLevel="0" collapsed="false">
      <c r="A1" s="4" t="s">
        <v>203</v>
      </c>
      <c r="B1" s="4" t="s">
        <v>204</v>
      </c>
      <c r="C1" s="4" t="s">
        <v>205</v>
      </c>
      <c r="D1" s="4" t="s">
        <v>206</v>
      </c>
      <c r="E1" s="4" t="s">
        <v>178</v>
      </c>
      <c r="F1" s="4" t="s">
        <v>207</v>
      </c>
      <c r="G1" s="4" t="s">
        <v>79</v>
      </c>
      <c r="H1" s="4" t="s">
        <v>208</v>
      </c>
      <c r="I1" s="4" t="s">
        <v>209</v>
      </c>
      <c r="J1" s="4" t="s">
        <v>84</v>
      </c>
      <c r="K1" s="4" t="s">
        <v>85</v>
      </c>
      <c r="L1" s="4" t="s">
        <v>58</v>
      </c>
      <c r="M1" s="4" t="s">
        <v>59</v>
      </c>
    </row>
    <row r="2" customFormat="false" ht="23.85" hidden="false" customHeight="false" outlineLevel="0" collapsed="false">
      <c r="A2" s="5" t="s">
        <v>210</v>
      </c>
      <c r="B2" s="5" t="s">
        <v>211</v>
      </c>
      <c r="C2" s="5" t="n">
        <v>6.5</v>
      </c>
      <c r="D2" s="5"/>
      <c r="E2" s="5" t="s">
        <v>212</v>
      </c>
      <c r="F2" s="5" t="s">
        <v>213</v>
      </c>
      <c r="G2" s="5" t="s">
        <v>214</v>
      </c>
      <c r="H2" s="5"/>
      <c r="I2" s="5" t="s">
        <v>215</v>
      </c>
      <c r="J2" s="7"/>
      <c r="K2" s="7"/>
      <c r="L2" s="5" t="s">
        <v>62</v>
      </c>
      <c r="M2" s="8" t="str">
        <f aca="true">IF(B2="","",IF(L2="Hidden","Hidden",IF(AND(J2&lt;&gt;"",J2&gt;TODAY()),"Scheduled",IF(AND(K2&lt;&gt;"",K2&lt;TODAY()),"Expired","Showing"))))</f>
        <v>Showing</v>
      </c>
    </row>
    <row r="3" customFormat="false" ht="15" hidden="false" customHeight="false" outlineLevel="0" collapsed="false">
      <c r="A3" s="5" t="s">
        <v>210</v>
      </c>
      <c r="B3" s="5" t="s">
        <v>216</v>
      </c>
      <c r="C3" s="5" t="n">
        <v>2</v>
      </c>
      <c r="D3" s="5"/>
      <c r="E3" s="5"/>
      <c r="F3" s="5" t="s">
        <v>213</v>
      </c>
      <c r="G3" s="5" t="s">
        <v>217</v>
      </c>
      <c r="H3" s="5"/>
      <c r="I3" s="5" t="s">
        <v>215</v>
      </c>
      <c r="J3" s="7"/>
      <c r="K3" s="7"/>
      <c r="L3" s="5" t="s">
        <v>62</v>
      </c>
      <c r="M3" s="8" t="str">
        <f aca="true">IF(B3="","",IF(L3="Hidden","Hidden",IF(AND(J3&lt;&gt;"",J3&gt;TODAY()),"Scheduled",IF(AND(K3&lt;&gt;"",K3&lt;TODAY()),"Expired","Showing"))))</f>
        <v>Showing</v>
      </c>
    </row>
    <row r="4" customFormat="false" ht="35.05" hidden="false" customHeight="false" outlineLevel="0" collapsed="false">
      <c r="A4" s="5" t="s">
        <v>210</v>
      </c>
      <c r="B4" s="5" t="s">
        <v>218</v>
      </c>
      <c r="C4" s="5" t="n">
        <v>10</v>
      </c>
      <c r="D4" s="5" t="n">
        <v>770</v>
      </c>
      <c r="E4" s="5"/>
      <c r="F4" s="5" t="s">
        <v>219</v>
      </c>
      <c r="G4" s="5" t="s">
        <v>220</v>
      </c>
      <c r="H4" s="5"/>
      <c r="I4" s="5" t="s">
        <v>221</v>
      </c>
      <c r="J4" s="7"/>
      <c r="K4" s="7"/>
      <c r="L4" s="5" t="s">
        <v>62</v>
      </c>
      <c r="M4" s="8" t="str">
        <f aca="true">IF(B4="","",IF(L4="Hidden","Hidden",IF(AND(J4&lt;&gt;"",J4&gt;TODAY()),"Scheduled",IF(AND(K4&lt;&gt;"",K4&lt;TODAY()),"Expired","Showing"))))</f>
        <v>Showing</v>
      </c>
    </row>
    <row r="5" customFormat="false" ht="23.85" hidden="false" customHeight="false" outlineLevel="0" collapsed="false">
      <c r="A5" s="5" t="s">
        <v>222</v>
      </c>
      <c r="B5" s="5" t="s">
        <v>223</v>
      </c>
      <c r="C5" s="5" t="n">
        <v>28.4</v>
      </c>
      <c r="D5" s="5" t="n">
        <v>2600</v>
      </c>
      <c r="E5" s="5" t="s">
        <v>224</v>
      </c>
      <c r="F5" s="5" t="s">
        <v>213</v>
      </c>
      <c r="G5" s="5" t="s">
        <v>225</v>
      </c>
      <c r="H5" s="5" t="s">
        <v>226</v>
      </c>
      <c r="I5" s="5" t="s">
        <v>227</v>
      </c>
      <c r="J5" s="7"/>
      <c r="K5" s="7"/>
      <c r="L5" s="5" t="s">
        <v>62</v>
      </c>
      <c r="M5" s="8" t="str">
        <f aca="true">IF(B5="","",IF(L5="Hidden","Hidden",IF(AND(J5&lt;&gt;"",J5&gt;TODAY()),"Scheduled",IF(AND(K5&lt;&gt;"",K5&lt;TODAY()),"Expired","Showing"))))</f>
        <v>Showing</v>
      </c>
    </row>
    <row r="6" customFormat="false" ht="23.85" hidden="false" customHeight="false" outlineLevel="0" collapsed="false">
      <c r="A6" s="5" t="s">
        <v>222</v>
      </c>
      <c r="B6" s="5" t="s">
        <v>228</v>
      </c>
      <c r="C6" s="5" t="n">
        <v>20.3</v>
      </c>
      <c r="D6" s="5" t="n">
        <v>850</v>
      </c>
      <c r="E6" s="5" t="s">
        <v>229</v>
      </c>
      <c r="F6" s="5" t="s">
        <v>213</v>
      </c>
      <c r="G6" s="5" t="s">
        <v>230</v>
      </c>
      <c r="H6" s="5" t="s">
        <v>231</v>
      </c>
      <c r="I6" s="5" t="s">
        <v>232</v>
      </c>
      <c r="J6" s="7"/>
      <c r="K6" s="7"/>
      <c r="L6" s="5" t="s">
        <v>62</v>
      </c>
      <c r="M6" s="8" t="str">
        <f aca="true">IF(B6="","",IF(L6="Hidden","Hidden",IF(AND(J6&lt;&gt;"",J6&gt;TODAY()),"Scheduled",IF(AND(K6&lt;&gt;"",K6&lt;TODAY()),"Expired","Showing"))))</f>
        <v>Showing</v>
      </c>
    </row>
    <row r="7" customFormat="false" ht="15" hidden="false" customHeight="false" outlineLevel="0" collapsed="false">
      <c r="A7" s="5"/>
      <c r="B7" s="5"/>
      <c r="C7" s="5"/>
      <c r="D7" s="5"/>
      <c r="E7" s="5"/>
      <c r="F7" s="5"/>
      <c r="G7" s="5"/>
      <c r="H7" s="5"/>
      <c r="I7" s="5"/>
      <c r="J7" s="7"/>
      <c r="K7" s="7"/>
      <c r="L7" s="5"/>
      <c r="M7" s="8" t="str">
        <f aca="true">IF(B7="","",IF(L7="Hidden","Hidden",IF(AND(J7&lt;&gt;"",J7&gt;TODAY()),"Scheduled",IF(AND(K7&lt;&gt;"",K7&lt;TODAY()),"Expired","Showing"))))</f>
        <v/>
      </c>
    </row>
    <row r="8" customFormat="false" ht="15" hidden="false" customHeight="false" outlineLevel="0" collapsed="false">
      <c r="A8" s="5"/>
      <c r="B8" s="5"/>
      <c r="C8" s="5"/>
      <c r="D8" s="5"/>
      <c r="E8" s="5"/>
      <c r="F8" s="5"/>
      <c r="G8" s="5"/>
      <c r="H8" s="5"/>
      <c r="I8" s="5"/>
      <c r="J8" s="7"/>
      <c r="K8" s="7"/>
      <c r="L8" s="5"/>
      <c r="M8" s="8" t="str">
        <f aca="true">IF(B8="","",IF(L8="Hidden","Hidden",IF(AND(J8&lt;&gt;"",J8&gt;TODAY()),"Scheduled",IF(AND(K8&lt;&gt;"",K8&lt;TODAY()),"Expired","Showing"))))</f>
        <v/>
      </c>
    </row>
    <row r="9" customFormat="false" ht="15" hidden="false" customHeight="false" outlineLevel="0" collapsed="false">
      <c r="A9" s="5"/>
      <c r="B9" s="5"/>
      <c r="C9" s="5"/>
      <c r="D9" s="5"/>
      <c r="E9" s="5"/>
      <c r="F9" s="5"/>
      <c r="G9" s="5"/>
      <c r="H9" s="5"/>
      <c r="I9" s="5"/>
      <c r="J9" s="7"/>
      <c r="K9" s="7"/>
      <c r="L9" s="5"/>
      <c r="M9" s="8" t="str">
        <f aca="true">IF(B9="","",IF(L9="Hidden","Hidden",IF(AND(J9&lt;&gt;"",J9&gt;TODAY()),"Scheduled",IF(AND(K9&lt;&gt;"",K9&lt;TODAY()),"Expired","Showing"))))</f>
        <v/>
      </c>
    </row>
    <row r="10" customFormat="false" ht="15" hidden="false" customHeight="false" outlineLevel="0" collapsed="false">
      <c r="A10" s="5"/>
      <c r="B10" s="5"/>
      <c r="C10" s="5"/>
      <c r="D10" s="5"/>
      <c r="E10" s="5"/>
      <c r="F10" s="5"/>
      <c r="G10" s="5"/>
      <c r="H10" s="5"/>
      <c r="I10" s="5"/>
      <c r="J10" s="7"/>
      <c r="K10" s="7"/>
      <c r="L10" s="5"/>
      <c r="M10" s="8" t="str">
        <f aca="true">IF(B10="","",IF(L10="Hidden","Hidden",IF(AND(J10&lt;&gt;"",J10&gt;TODAY()),"Scheduled",IF(AND(K10&lt;&gt;"",K10&lt;TODAY()),"Expired","Showing"))))</f>
        <v/>
      </c>
    </row>
    <row r="11" customFormat="false" ht="15" hidden="false" customHeight="false" outlineLevel="0" collapsed="false">
      <c r="A11" s="5"/>
      <c r="B11" s="5"/>
      <c r="C11" s="5"/>
      <c r="D11" s="5"/>
      <c r="E11" s="5"/>
      <c r="F11" s="5"/>
      <c r="G11" s="5"/>
      <c r="H11" s="5"/>
      <c r="I11" s="5"/>
      <c r="J11" s="7"/>
      <c r="K11" s="7"/>
      <c r="L11" s="5"/>
      <c r="M11" s="8" t="str">
        <f aca="true">IF(B11="","",IF(L11="Hidden","Hidden",IF(AND(J11&lt;&gt;"",J11&gt;TODAY()),"Scheduled",IF(AND(K11&lt;&gt;"",K11&lt;TODAY()),"Expired","Showing"))))</f>
        <v/>
      </c>
    </row>
    <row r="12" customFormat="false" ht="15" hidden="false" customHeight="false" outlineLevel="0" collapsed="false">
      <c r="A12" s="5"/>
      <c r="B12" s="5"/>
      <c r="C12" s="5"/>
      <c r="D12" s="5"/>
      <c r="E12" s="5"/>
      <c r="F12" s="5"/>
      <c r="G12" s="5"/>
      <c r="H12" s="5"/>
      <c r="I12" s="5"/>
      <c r="J12" s="7"/>
      <c r="K12" s="7"/>
      <c r="L12" s="5"/>
      <c r="M12" s="8" t="str">
        <f aca="true">IF(B12="","",IF(L12="Hidden","Hidden",IF(AND(J12&lt;&gt;"",J12&gt;TODAY()),"Scheduled",IF(AND(K12&lt;&gt;"",K12&lt;TODAY()),"Expired","Showing"))))</f>
        <v/>
      </c>
    </row>
    <row r="13" customFormat="false" ht="15" hidden="false" customHeight="false" outlineLevel="0" collapsed="false">
      <c r="A13" s="5"/>
      <c r="B13" s="5"/>
      <c r="C13" s="5"/>
      <c r="D13" s="5"/>
      <c r="E13" s="5"/>
      <c r="F13" s="5"/>
      <c r="G13" s="5"/>
      <c r="H13" s="5"/>
      <c r="I13" s="5"/>
      <c r="J13" s="7"/>
      <c r="K13" s="7"/>
      <c r="L13" s="5"/>
      <c r="M13" s="8" t="str">
        <f aca="true">IF(B13="","",IF(L13="Hidden","Hidden",IF(AND(J13&lt;&gt;"",J13&gt;TODAY()),"Scheduled",IF(AND(K13&lt;&gt;"",K13&lt;TODAY()),"Expired","Showing"))))</f>
        <v/>
      </c>
    </row>
    <row r="14" customFormat="false" ht="15" hidden="false" customHeight="false" outlineLevel="0" collapsed="false">
      <c r="A14" s="5"/>
      <c r="B14" s="5"/>
      <c r="C14" s="5"/>
      <c r="D14" s="5"/>
      <c r="E14" s="5"/>
      <c r="F14" s="5"/>
      <c r="G14" s="5"/>
      <c r="H14" s="5"/>
      <c r="I14" s="5"/>
      <c r="J14" s="7"/>
      <c r="K14" s="7"/>
      <c r="L14" s="5"/>
      <c r="M14" s="8" t="str">
        <f aca="true">IF(B14="","",IF(L14="Hidden","Hidden",IF(AND(J14&lt;&gt;"",J14&gt;TODAY()),"Scheduled",IF(AND(K14&lt;&gt;"",K14&lt;TODAY()),"Expired","Showing"))))</f>
        <v/>
      </c>
    </row>
    <row r="15" customFormat="false" ht="15" hidden="false" customHeight="false" outlineLevel="0" collapsed="false">
      <c r="A15" s="5"/>
      <c r="B15" s="5"/>
      <c r="C15" s="5"/>
      <c r="D15" s="5"/>
      <c r="E15" s="5"/>
      <c r="F15" s="5"/>
      <c r="G15" s="5"/>
      <c r="H15" s="5"/>
      <c r="I15" s="5"/>
      <c r="J15" s="7"/>
      <c r="K15" s="7"/>
      <c r="L15" s="5"/>
      <c r="M15" s="8" t="str">
        <f aca="true">IF(B15="","",IF(L15="Hidden","Hidden",IF(AND(J15&lt;&gt;"",J15&gt;TODAY()),"Scheduled",IF(AND(K15&lt;&gt;"",K15&lt;TODAY()),"Expired","Showing"))))</f>
        <v/>
      </c>
    </row>
    <row r="16" customFormat="false" ht="15" hidden="false" customHeight="false" outlineLevel="0" collapsed="false">
      <c r="A16" s="5"/>
      <c r="B16" s="5"/>
      <c r="C16" s="5"/>
      <c r="D16" s="5"/>
      <c r="E16" s="5"/>
      <c r="F16" s="5"/>
      <c r="G16" s="5"/>
      <c r="H16" s="5"/>
      <c r="I16" s="5"/>
      <c r="J16" s="7"/>
      <c r="K16" s="7"/>
      <c r="L16" s="5"/>
      <c r="M16" s="8" t="str">
        <f aca="true">IF(B16="","",IF(L16="Hidden","Hidden",IF(AND(J16&lt;&gt;"",J16&gt;TODAY()),"Scheduled",IF(AND(K16&lt;&gt;"",K16&lt;TODAY()),"Expired","Showing"))))</f>
        <v/>
      </c>
    </row>
    <row r="17" customFormat="false" ht="15" hidden="false" customHeight="false" outlineLevel="0" collapsed="false">
      <c r="A17" s="5"/>
      <c r="B17" s="5"/>
      <c r="C17" s="5"/>
      <c r="D17" s="5"/>
      <c r="E17" s="5"/>
      <c r="F17" s="5"/>
      <c r="G17" s="5"/>
      <c r="H17" s="5"/>
      <c r="I17" s="5"/>
      <c r="J17" s="7"/>
      <c r="K17" s="7"/>
      <c r="L17" s="5"/>
      <c r="M17" s="8" t="str">
        <f aca="true">IF(B17="","",IF(L17="Hidden","Hidden",IF(AND(J17&lt;&gt;"",J17&gt;TODAY()),"Scheduled",IF(AND(K17&lt;&gt;"",K17&lt;TODAY()),"Expired","Showing"))))</f>
        <v/>
      </c>
    </row>
    <row r="18" customFormat="false" ht="15" hidden="false" customHeight="false" outlineLevel="0" collapsed="false">
      <c r="A18" s="5"/>
      <c r="B18" s="5"/>
      <c r="C18" s="5"/>
      <c r="D18" s="5"/>
      <c r="E18" s="5"/>
      <c r="F18" s="5"/>
      <c r="G18" s="5"/>
      <c r="H18" s="5"/>
      <c r="I18" s="5"/>
      <c r="J18" s="7"/>
      <c r="K18" s="7"/>
      <c r="L18" s="5"/>
      <c r="M18" s="8" t="str">
        <f aca="true">IF(B18="","",IF(L18="Hidden","Hidden",IF(AND(J18&lt;&gt;"",J18&gt;TODAY()),"Scheduled",IF(AND(K18&lt;&gt;"",K18&lt;TODAY()),"Expired","Showing"))))</f>
        <v/>
      </c>
    </row>
    <row r="19" customFormat="false" ht="15" hidden="false" customHeight="false" outlineLevel="0" collapsed="false">
      <c r="A19" s="5"/>
      <c r="B19" s="5"/>
      <c r="C19" s="5"/>
      <c r="D19" s="5"/>
      <c r="E19" s="5"/>
      <c r="F19" s="5"/>
      <c r="G19" s="5"/>
      <c r="H19" s="5"/>
      <c r="I19" s="5"/>
      <c r="J19" s="7"/>
      <c r="K19" s="7"/>
      <c r="L19" s="5"/>
      <c r="M19" s="8" t="str">
        <f aca="true">IF(B19="","",IF(L19="Hidden","Hidden",IF(AND(J19&lt;&gt;"",J19&gt;TODAY()),"Scheduled",IF(AND(K19&lt;&gt;"",K19&lt;TODAY()),"Expired","Showing"))))</f>
        <v/>
      </c>
    </row>
    <row r="20" customFormat="false" ht="15" hidden="false" customHeight="false" outlineLevel="0" collapsed="false">
      <c r="A20" s="5"/>
      <c r="B20" s="5"/>
      <c r="C20" s="5"/>
      <c r="D20" s="5"/>
      <c r="E20" s="5"/>
      <c r="F20" s="5"/>
      <c r="G20" s="5"/>
      <c r="H20" s="5"/>
      <c r="I20" s="5"/>
      <c r="J20" s="7"/>
      <c r="K20" s="7"/>
      <c r="L20" s="5"/>
      <c r="M20" s="8" t="str">
        <f aca="true">IF(B20="","",IF(L20="Hidden","Hidden",IF(AND(J20&lt;&gt;"",J20&gt;TODAY()),"Scheduled",IF(AND(K20&lt;&gt;"",K20&lt;TODAY()),"Expired","Showing"))))</f>
        <v/>
      </c>
    </row>
    <row r="21" customFormat="false" ht="15" hidden="false" customHeight="false" outlineLevel="0" collapsed="false">
      <c r="A21" s="5"/>
      <c r="B21" s="5"/>
      <c r="C21" s="5"/>
      <c r="D21" s="5"/>
      <c r="E21" s="5"/>
      <c r="F21" s="5"/>
      <c r="G21" s="5"/>
      <c r="H21" s="5"/>
      <c r="I21" s="5"/>
      <c r="J21" s="7"/>
      <c r="K21" s="7"/>
      <c r="L21" s="5"/>
      <c r="M21" s="8" t="str">
        <f aca="true">IF(B21="","",IF(L21="Hidden","Hidden",IF(AND(J21&lt;&gt;"",J21&gt;TODAY()),"Scheduled",IF(AND(K21&lt;&gt;"",K21&lt;TODAY()),"Expired","Showing"))))</f>
        <v/>
      </c>
    </row>
    <row r="22" customFormat="false" ht="15" hidden="false" customHeight="false" outlineLevel="0" collapsed="false">
      <c r="A22" s="5"/>
      <c r="B22" s="5"/>
      <c r="C22" s="5"/>
      <c r="D22" s="5"/>
      <c r="E22" s="5"/>
      <c r="F22" s="5"/>
      <c r="G22" s="5"/>
      <c r="H22" s="5"/>
      <c r="I22" s="5"/>
      <c r="J22" s="7"/>
      <c r="K22" s="7"/>
      <c r="L22" s="5"/>
      <c r="M22" s="8" t="str">
        <f aca="true">IF(B22="","",IF(L22="Hidden","Hidden",IF(AND(J22&lt;&gt;"",J22&gt;TODAY()),"Scheduled",IF(AND(K22&lt;&gt;"",K22&lt;TODAY()),"Expired","Showing"))))</f>
        <v/>
      </c>
    </row>
    <row r="23" customFormat="false" ht="15" hidden="false" customHeight="false" outlineLevel="0" collapsed="false">
      <c r="A23" s="5"/>
      <c r="B23" s="5"/>
      <c r="C23" s="5"/>
      <c r="D23" s="5"/>
      <c r="E23" s="5"/>
      <c r="F23" s="5"/>
      <c r="G23" s="5"/>
      <c r="H23" s="5"/>
      <c r="I23" s="5"/>
      <c r="J23" s="7"/>
      <c r="K23" s="7"/>
      <c r="L23" s="5"/>
      <c r="M23" s="8" t="str">
        <f aca="true">IF(B23="","",IF(L23="Hidden","Hidden",IF(AND(J23&lt;&gt;"",J23&gt;TODAY()),"Scheduled",IF(AND(K23&lt;&gt;"",K23&lt;TODAY()),"Expired","Showing"))))</f>
        <v/>
      </c>
    </row>
    <row r="24" customFormat="false" ht="15" hidden="false" customHeight="false" outlineLevel="0" collapsed="false">
      <c r="A24" s="5"/>
      <c r="B24" s="5"/>
      <c r="C24" s="5"/>
      <c r="D24" s="5"/>
      <c r="E24" s="5"/>
      <c r="F24" s="5"/>
      <c r="G24" s="5"/>
      <c r="H24" s="5"/>
      <c r="I24" s="5"/>
      <c r="J24" s="7"/>
      <c r="K24" s="7"/>
      <c r="L24" s="5"/>
      <c r="M24" s="8" t="str">
        <f aca="true">IF(B24="","",IF(L24="Hidden","Hidden",IF(AND(J24&lt;&gt;"",J24&gt;TODAY()),"Scheduled",IF(AND(K24&lt;&gt;"",K24&lt;TODAY()),"Expired","Showing"))))</f>
        <v/>
      </c>
    </row>
    <row r="25" customFormat="false" ht="15" hidden="false" customHeight="false" outlineLevel="0" collapsed="false">
      <c r="A25" s="5"/>
      <c r="B25" s="5"/>
      <c r="C25" s="5"/>
      <c r="D25" s="5"/>
      <c r="E25" s="5"/>
      <c r="F25" s="5"/>
      <c r="G25" s="5"/>
      <c r="H25" s="5"/>
      <c r="I25" s="5"/>
      <c r="J25" s="7"/>
      <c r="K25" s="7"/>
      <c r="L25" s="5"/>
      <c r="M25" s="8" t="str">
        <f aca="true">IF(B25="","",IF(L25="Hidden","Hidden",IF(AND(J25&lt;&gt;"",J25&gt;TODAY()),"Scheduled",IF(AND(K25&lt;&gt;"",K25&lt;TODAY()),"Expired","Showing"))))</f>
        <v/>
      </c>
    </row>
    <row r="26" customFormat="false" ht="15" hidden="false" customHeight="false" outlineLevel="0" collapsed="false">
      <c r="A26" s="5"/>
      <c r="B26" s="5"/>
      <c r="C26" s="5"/>
      <c r="D26" s="5"/>
      <c r="E26" s="5"/>
      <c r="F26" s="5"/>
      <c r="G26" s="5"/>
      <c r="H26" s="5"/>
      <c r="I26" s="5"/>
      <c r="J26" s="7"/>
      <c r="K26" s="7"/>
      <c r="L26" s="5"/>
      <c r="M26" s="8" t="str">
        <f aca="true">IF(B26="","",IF(L26="Hidden","Hidden",IF(AND(J26&lt;&gt;"",J26&gt;TODAY()),"Scheduled",IF(AND(K26&lt;&gt;"",K26&lt;TODAY()),"Expired","Showing"))))</f>
        <v/>
      </c>
    </row>
    <row r="27" customFormat="false" ht="15" hidden="false" customHeight="false" outlineLevel="0" collapsed="false">
      <c r="A27" s="5"/>
      <c r="B27" s="5"/>
      <c r="C27" s="5"/>
      <c r="D27" s="5"/>
      <c r="E27" s="5"/>
      <c r="F27" s="5"/>
      <c r="G27" s="5"/>
      <c r="H27" s="5"/>
      <c r="I27" s="5"/>
      <c r="J27" s="7"/>
      <c r="K27" s="7"/>
      <c r="L27" s="5"/>
      <c r="M27" s="8" t="str">
        <f aca="true">IF(B27="","",IF(L27="Hidden","Hidden",IF(AND(J27&lt;&gt;"",J27&gt;TODAY()),"Scheduled",IF(AND(K27&lt;&gt;"",K27&lt;TODAY()),"Expired","Showing"))))</f>
        <v/>
      </c>
    </row>
    <row r="28" customFormat="false" ht="15" hidden="false" customHeight="false" outlineLevel="0" collapsed="false">
      <c r="A28" s="5"/>
      <c r="B28" s="5"/>
      <c r="C28" s="5"/>
      <c r="D28" s="5"/>
      <c r="E28" s="5"/>
      <c r="F28" s="5"/>
      <c r="G28" s="5"/>
      <c r="H28" s="5"/>
      <c r="I28" s="5"/>
      <c r="J28" s="7"/>
      <c r="K28" s="7"/>
      <c r="L28" s="5"/>
      <c r="M28" s="8" t="str">
        <f aca="true">IF(B28="","",IF(L28="Hidden","Hidden",IF(AND(J28&lt;&gt;"",J28&gt;TODAY()),"Scheduled",IF(AND(K28&lt;&gt;"",K28&lt;TODAY()),"Expired","Showing"))))</f>
        <v/>
      </c>
    </row>
    <row r="29" customFormat="false" ht="15" hidden="false" customHeight="false" outlineLevel="0" collapsed="false">
      <c r="A29" s="5"/>
      <c r="B29" s="5"/>
      <c r="C29" s="5"/>
      <c r="D29" s="5"/>
      <c r="E29" s="5"/>
      <c r="F29" s="5"/>
      <c r="G29" s="5"/>
      <c r="H29" s="5"/>
      <c r="I29" s="5"/>
      <c r="J29" s="7"/>
      <c r="K29" s="7"/>
      <c r="L29" s="5"/>
      <c r="M29" s="8" t="str">
        <f aca="true">IF(B29="","",IF(L29="Hidden","Hidden",IF(AND(J29&lt;&gt;"",J29&gt;TODAY()),"Scheduled",IF(AND(K29&lt;&gt;"",K29&lt;TODAY()),"Expired","Showing"))))</f>
        <v/>
      </c>
    </row>
    <row r="30" customFormat="false" ht="15" hidden="false" customHeight="false" outlineLevel="0" collapsed="false">
      <c r="A30" s="5"/>
      <c r="B30" s="5"/>
      <c r="C30" s="5"/>
      <c r="D30" s="5"/>
      <c r="E30" s="5"/>
      <c r="F30" s="5"/>
      <c r="G30" s="5"/>
      <c r="H30" s="5"/>
      <c r="I30" s="5"/>
      <c r="J30" s="7"/>
      <c r="K30" s="7"/>
      <c r="L30" s="5"/>
      <c r="M30" s="8" t="str">
        <f aca="true">IF(B30="","",IF(L30="Hidden","Hidden",IF(AND(J30&lt;&gt;"",J30&gt;TODAY()),"Scheduled",IF(AND(K30&lt;&gt;"",K30&lt;TODAY()),"Expired","Showing"))))</f>
        <v/>
      </c>
    </row>
    <row r="31" customFormat="false" ht="15" hidden="false" customHeight="false" outlineLevel="0" collapsed="false">
      <c r="A31" s="5"/>
      <c r="B31" s="5"/>
      <c r="C31" s="5"/>
      <c r="D31" s="5"/>
      <c r="E31" s="5"/>
      <c r="F31" s="5"/>
      <c r="G31" s="5"/>
      <c r="H31" s="5"/>
      <c r="I31" s="5"/>
      <c r="J31" s="7"/>
      <c r="K31" s="7"/>
      <c r="L31" s="5"/>
      <c r="M31" s="8" t="str">
        <f aca="true">IF(B31="","",IF(L31="Hidden","Hidden",IF(AND(J31&lt;&gt;"",J31&gt;TODAY()),"Scheduled",IF(AND(K31&lt;&gt;"",K31&lt;TODAY()),"Expired","Showing"))))</f>
        <v/>
      </c>
    </row>
    <row r="32" customFormat="false" ht="15" hidden="false" customHeight="false" outlineLevel="0" collapsed="false">
      <c r="A32" s="5"/>
      <c r="B32" s="5"/>
      <c r="C32" s="5"/>
      <c r="D32" s="5"/>
      <c r="E32" s="5"/>
      <c r="F32" s="5"/>
      <c r="G32" s="5"/>
      <c r="H32" s="5"/>
      <c r="I32" s="5"/>
      <c r="J32" s="7"/>
      <c r="K32" s="7"/>
      <c r="L32" s="5"/>
      <c r="M32" s="8" t="str">
        <f aca="true">IF(B32="","",IF(L32="Hidden","Hidden",IF(AND(J32&lt;&gt;"",J32&gt;TODAY()),"Scheduled",IF(AND(K32&lt;&gt;"",K32&lt;TODAY()),"Expired","Showing"))))</f>
        <v/>
      </c>
    </row>
    <row r="33" customFormat="false" ht="15" hidden="false" customHeight="false" outlineLevel="0" collapsed="false">
      <c r="A33" s="5"/>
      <c r="B33" s="5"/>
      <c r="C33" s="5"/>
      <c r="D33" s="5"/>
      <c r="E33" s="5"/>
      <c r="F33" s="5"/>
      <c r="G33" s="5"/>
      <c r="H33" s="5"/>
      <c r="I33" s="5"/>
      <c r="J33" s="7"/>
      <c r="K33" s="7"/>
      <c r="L33" s="5"/>
      <c r="M33" s="8" t="str">
        <f aca="true">IF(B33="","",IF(L33="Hidden","Hidden",IF(AND(J33&lt;&gt;"",J33&gt;TODAY()),"Scheduled",IF(AND(K33&lt;&gt;"",K33&lt;TODAY()),"Expired","Showing"))))</f>
        <v/>
      </c>
    </row>
    <row r="34" customFormat="false" ht="15" hidden="false" customHeight="false" outlineLevel="0" collapsed="false">
      <c r="A34" s="5"/>
      <c r="B34" s="5"/>
      <c r="C34" s="5"/>
      <c r="D34" s="5"/>
      <c r="E34" s="5"/>
      <c r="F34" s="5"/>
      <c r="G34" s="5"/>
      <c r="H34" s="5"/>
      <c r="I34" s="5"/>
      <c r="J34" s="7"/>
      <c r="K34" s="7"/>
      <c r="L34" s="5"/>
      <c r="M34" s="8" t="str">
        <f aca="true">IF(B34="","",IF(L34="Hidden","Hidden",IF(AND(J34&lt;&gt;"",J34&gt;TODAY()),"Scheduled",IF(AND(K34&lt;&gt;"",K34&lt;TODAY()),"Expired","Showing"))))</f>
        <v/>
      </c>
    </row>
    <row r="35" customFormat="false" ht="15" hidden="false" customHeight="false" outlineLevel="0" collapsed="false">
      <c r="A35" s="5"/>
      <c r="B35" s="5"/>
      <c r="C35" s="5"/>
      <c r="D35" s="5"/>
      <c r="E35" s="5"/>
      <c r="F35" s="5"/>
      <c r="G35" s="5"/>
      <c r="H35" s="5"/>
      <c r="I35" s="5"/>
      <c r="J35" s="7"/>
      <c r="K35" s="7"/>
      <c r="L35" s="5"/>
      <c r="M35" s="8" t="str">
        <f aca="true">IF(B35="","",IF(L35="Hidden","Hidden",IF(AND(J35&lt;&gt;"",J35&gt;TODAY()),"Scheduled",IF(AND(K35&lt;&gt;"",K35&lt;TODAY()),"Expired","Showing"))))</f>
        <v/>
      </c>
    </row>
    <row r="36" customFormat="false" ht="15" hidden="false" customHeight="false" outlineLevel="0" collapsed="false">
      <c r="A36" s="5"/>
      <c r="B36" s="5"/>
      <c r="C36" s="5"/>
      <c r="D36" s="5"/>
      <c r="E36" s="5"/>
      <c r="F36" s="5"/>
      <c r="G36" s="5"/>
      <c r="H36" s="5"/>
      <c r="I36" s="5"/>
      <c r="J36" s="7"/>
      <c r="K36" s="7"/>
      <c r="L36" s="5"/>
      <c r="M36" s="8" t="str">
        <f aca="true">IF(B36="","",IF(L36="Hidden","Hidden",IF(AND(J36&lt;&gt;"",J36&gt;TODAY()),"Scheduled",IF(AND(K36&lt;&gt;"",K36&lt;TODAY()),"Expired","Showing"))))</f>
        <v/>
      </c>
    </row>
    <row r="37" customFormat="false" ht="15" hidden="false" customHeight="false" outlineLevel="0" collapsed="false">
      <c r="A37" s="5"/>
      <c r="B37" s="5"/>
      <c r="C37" s="5"/>
      <c r="D37" s="5"/>
      <c r="E37" s="5"/>
      <c r="F37" s="5"/>
      <c r="G37" s="5"/>
      <c r="H37" s="5"/>
      <c r="I37" s="5"/>
      <c r="J37" s="7"/>
      <c r="K37" s="7"/>
      <c r="L37" s="5"/>
      <c r="M37" s="8" t="str">
        <f aca="true">IF(B37="","",IF(L37="Hidden","Hidden",IF(AND(J37&lt;&gt;"",J37&gt;TODAY()),"Scheduled",IF(AND(K37&lt;&gt;"",K37&lt;TODAY()),"Expired","Showing"))))</f>
        <v/>
      </c>
    </row>
    <row r="38" customFormat="false" ht="15" hidden="false" customHeight="false" outlineLevel="0" collapsed="false">
      <c r="A38" s="5"/>
      <c r="B38" s="5"/>
      <c r="C38" s="5"/>
      <c r="D38" s="5"/>
      <c r="E38" s="5"/>
      <c r="F38" s="5"/>
      <c r="G38" s="5"/>
      <c r="H38" s="5"/>
      <c r="I38" s="5"/>
      <c r="J38" s="7"/>
      <c r="K38" s="7"/>
      <c r="L38" s="5"/>
      <c r="M38" s="8" t="str">
        <f aca="true">IF(B38="","",IF(L38="Hidden","Hidden",IF(AND(J38&lt;&gt;"",J38&gt;TODAY()),"Scheduled",IF(AND(K38&lt;&gt;"",K38&lt;TODAY()),"Expired","Showing"))))</f>
        <v/>
      </c>
    </row>
    <row r="39" customFormat="false" ht="15" hidden="false" customHeight="false" outlineLevel="0" collapsed="false">
      <c r="A39" s="5"/>
      <c r="B39" s="5"/>
      <c r="C39" s="5"/>
      <c r="D39" s="5"/>
      <c r="E39" s="5"/>
      <c r="F39" s="5"/>
      <c r="G39" s="5"/>
      <c r="H39" s="5"/>
      <c r="I39" s="5"/>
      <c r="J39" s="7"/>
      <c r="K39" s="7"/>
      <c r="L39" s="5"/>
      <c r="M39" s="8" t="str">
        <f aca="true">IF(B39="","",IF(L39="Hidden","Hidden",IF(AND(J39&lt;&gt;"",J39&gt;TODAY()),"Scheduled",IF(AND(K39&lt;&gt;"",K39&lt;TODAY()),"Expired","Showing"))))</f>
        <v/>
      </c>
    </row>
    <row r="40" customFormat="false" ht="15" hidden="false" customHeight="false" outlineLevel="0" collapsed="false">
      <c r="A40" s="5"/>
      <c r="B40" s="5"/>
      <c r="C40" s="5"/>
      <c r="D40" s="5"/>
      <c r="E40" s="5"/>
      <c r="F40" s="5"/>
      <c r="G40" s="5"/>
      <c r="H40" s="5"/>
      <c r="I40" s="5"/>
      <c r="J40" s="7"/>
      <c r="K40" s="7"/>
      <c r="L40" s="5"/>
      <c r="M40" s="8" t="str">
        <f aca="true">IF(B40="","",IF(L40="Hidden","Hidden",IF(AND(J40&lt;&gt;"",J40&gt;TODAY()),"Scheduled",IF(AND(K40&lt;&gt;"",K40&lt;TODAY()),"Expired","Showing"))))</f>
        <v/>
      </c>
    </row>
    <row r="41" customFormat="false" ht="15" hidden="false" customHeight="false" outlineLevel="0" collapsed="false">
      <c r="A41" s="5"/>
      <c r="B41" s="5"/>
      <c r="C41" s="5"/>
      <c r="D41" s="5"/>
      <c r="E41" s="5"/>
      <c r="F41" s="5"/>
      <c r="G41" s="5"/>
      <c r="H41" s="5"/>
      <c r="I41" s="5"/>
      <c r="J41" s="7"/>
      <c r="K41" s="7"/>
      <c r="L41" s="5"/>
      <c r="M41" s="8" t="str">
        <f aca="true">IF(B41="","",IF(L41="Hidden","Hidden",IF(AND(J41&lt;&gt;"",J41&gt;TODAY()),"Scheduled",IF(AND(K41&lt;&gt;"",K41&lt;TODAY()),"Expired","Showing"))))</f>
        <v/>
      </c>
    </row>
    <row r="42" customFormat="false" ht="15" hidden="false" customHeight="false" outlineLevel="0" collapsed="false">
      <c r="A42" s="5"/>
      <c r="B42" s="5"/>
      <c r="C42" s="5"/>
      <c r="D42" s="5"/>
      <c r="E42" s="5"/>
      <c r="F42" s="5"/>
      <c r="G42" s="5"/>
      <c r="H42" s="5"/>
      <c r="I42" s="5"/>
      <c r="J42" s="7"/>
      <c r="K42" s="7"/>
      <c r="L42" s="5"/>
      <c r="M42" s="8" t="str">
        <f aca="true">IF(B42="","",IF(L42="Hidden","Hidden",IF(AND(J42&lt;&gt;"",J42&gt;TODAY()),"Scheduled",IF(AND(K42&lt;&gt;"",K42&lt;TODAY()),"Expired","Showing"))))</f>
        <v/>
      </c>
    </row>
    <row r="43" customFormat="false" ht="15" hidden="false" customHeight="false" outlineLevel="0" collapsed="false">
      <c r="A43" s="5"/>
      <c r="B43" s="5"/>
      <c r="C43" s="5"/>
      <c r="D43" s="5"/>
      <c r="E43" s="5"/>
      <c r="F43" s="5"/>
      <c r="G43" s="5"/>
      <c r="H43" s="5"/>
      <c r="I43" s="5"/>
      <c r="J43" s="7"/>
      <c r="K43" s="7"/>
      <c r="L43" s="5"/>
      <c r="M43" s="8" t="str">
        <f aca="true">IF(B43="","",IF(L43="Hidden","Hidden",IF(AND(J43&lt;&gt;"",J43&gt;TODAY()),"Scheduled",IF(AND(K43&lt;&gt;"",K43&lt;TODAY()),"Expired","Showing"))))</f>
        <v/>
      </c>
    </row>
    <row r="44" customFormat="false" ht="15" hidden="false" customHeight="false" outlineLevel="0" collapsed="false">
      <c r="A44" s="5"/>
      <c r="B44" s="5"/>
      <c r="C44" s="5"/>
      <c r="D44" s="5"/>
      <c r="E44" s="5"/>
      <c r="F44" s="5"/>
      <c r="G44" s="5"/>
      <c r="H44" s="5"/>
      <c r="I44" s="5"/>
      <c r="J44" s="7"/>
      <c r="K44" s="7"/>
      <c r="L44" s="5"/>
      <c r="M44" s="8" t="str">
        <f aca="true">IF(B44="","",IF(L44="Hidden","Hidden",IF(AND(J44&lt;&gt;"",J44&gt;TODAY()),"Scheduled",IF(AND(K44&lt;&gt;"",K44&lt;TODAY()),"Expired","Showing"))))</f>
        <v/>
      </c>
    </row>
    <row r="45" customFormat="false" ht="15" hidden="false" customHeight="false" outlineLevel="0" collapsed="false">
      <c r="A45" s="5"/>
      <c r="B45" s="5"/>
      <c r="C45" s="5"/>
      <c r="D45" s="5"/>
      <c r="E45" s="5"/>
      <c r="F45" s="5"/>
      <c r="G45" s="5"/>
      <c r="H45" s="5"/>
      <c r="I45" s="5"/>
      <c r="J45" s="7"/>
      <c r="K45" s="7"/>
      <c r="L45" s="5"/>
      <c r="M45" s="8" t="str">
        <f aca="true">IF(B45="","",IF(L45="Hidden","Hidden",IF(AND(J45&lt;&gt;"",J45&gt;TODAY()),"Scheduled",IF(AND(K45&lt;&gt;"",K45&lt;TODAY()),"Expired","Showing"))))</f>
        <v/>
      </c>
    </row>
    <row r="46" customFormat="false" ht="15" hidden="false" customHeight="false" outlineLevel="0" collapsed="false">
      <c r="A46" s="5"/>
      <c r="B46" s="5"/>
      <c r="C46" s="5"/>
      <c r="D46" s="5"/>
      <c r="E46" s="5"/>
      <c r="F46" s="5"/>
      <c r="G46" s="5"/>
      <c r="H46" s="5"/>
      <c r="I46" s="5"/>
      <c r="J46" s="7"/>
      <c r="K46" s="7"/>
      <c r="L46" s="5"/>
      <c r="M46" s="8" t="str">
        <f aca="true">IF(B46="","",IF(L46="Hidden","Hidden",IF(AND(J46&lt;&gt;"",J46&gt;TODAY()),"Scheduled",IF(AND(K46&lt;&gt;"",K46&lt;TODAY()),"Expired","Showing"))))</f>
        <v/>
      </c>
    </row>
    <row r="47" customFormat="false" ht="15" hidden="false" customHeight="false" outlineLevel="0" collapsed="false">
      <c r="A47" s="5"/>
      <c r="B47" s="5"/>
      <c r="C47" s="5"/>
      <c r="D47" s="5"/>
      <c r="E47" s="5"/>
      <c r="F47" s="5"/>
      <c r="G47" s="5"/>
      <c r="H47" s="5"/>
      <c r="I47" s="5"/>
      <c r="J47" s="7"/>
      <c r="K47" s="7"/>
      <c r="L47" s="5"/>
      <c r="M47" s="8" t="str">
        <f aca="true">IF(B47="","",IF(L47="Hidden","Hidden",IF(AND(J47&lt;&gt;"",J47&gt;TODAY()),"Scheduled",IF(AND(K47&lt;&gt;"",K47&lt;TODAY()),"Expired","Showing"))))</f>
        <v/>
      </c>
    </row>
    <row r="48" customFormat="false" ht="15" hidden="false" customHeight="false" outlineLevel="0" collapsed="false">
      <c r="A48" s="5"/>
      <c r="B48" s="5"/>
      <c r="C48" s="5"/>
      <c r="D48" s="5"/>
      <c r="E48" s="5"/>
      <c r="F48" s="5"/>
      <c r="G48" s="5"/>
      <c r="H48" s="5"/>
      <c r="I48" s="5"/>
      <c r="J48" s="7"/>
      <c r="K48" s="7"/>
      <c r="L48" s="5"/>
      <c r="M48" s="8" t="str">
        <f aca="true">IF(B48="","",IF(L48="Hidden","Hidden",IF(AND(J48&lt;&gt;"",J48&gt;TODAY()),"Scheduled",IF(AND(K48&lt;&gt;"",K48&lt;TODAY()),"Expired","Showing"))))</f>
        <v/>
      </c>
    </row>
    <row r="49" customFormat="false" ht="15" hidden="false" customHeight="false" outlineLevel="0" collapsed="false">
      <c r="A49" s="5"/>
      <c r="B49" s="5"/>
      <c r="C49" s="5"/>
      <c r="D49" s="5"/>
      <c r="E49" s="5"/>
      <c r="F49" s="5"/>
      <c r="G49" s="5"/>
      <c r="H49" s="5"/>
      <c r="I49" s="5"/>
      <c r="J49" s="7"/>
      <c r="K49" s="7"/>
      <c r="L49" s="5"/>
      <c r="M49" s="8" t="str">
        <f aca="true">IF(B49="","",IF(L49="Hidden","Hidden",IF(AND(J49&lt;&gt;"",J49&gt;TODAY()),"Scheduled",IF(AND(K49&lt;&gt;"",K49&lt;TODAY()),"Expired","Showing"))))</f>
        <v/>
      </c>
    </row>
    <row r="50" customFormat="false" ht="15" hidden="false" customHeight="false" outlineLevel="0" collapsed="false">
      <c r="A50" s="5"/>
      <c r="B50" s="5"/>
      <c r="C50" s="5"/>
      <c r="D50" s="5"/>
      <c r="E50" s="5"/>
      <c r="F50" s="5"/>
      <c r="G50" s="5"/>
      <c r="H50" s="5"/>
      <c r="I50" s="5"/>
      <c r="J50" s="7"/>
      <c r="K50" s="7"/>
      <c r="L50" s="5"/>
      <c r="M50" s="8" t="str">
        <f aca="true">IF(B50="","",IF(L50="Hidden","Hidden",IF(AND(J50&lt;&gt;"",J50&gt;TODAY()),"Scheduled",IF(AND(K50&lt;&gt;"",K50&lt;TODAY()),"Expired","Showing"))))</f>
        <v/>
      </c>
    </row>
    <row r="51" customFormat="false" ht="15" hidden="false" customHeight="false" outlineLevel="0" collapsed="false">
      <c r="A51" s="5"/>
      <c r="B51" s="5"/>
      <c r="C51" s="5"/>
      <c r="D51" s="5"/>
      <c r="E51" s="5"/>
      <c r="F51" s="5"/>
      <c r="G51" s="5"/>
      <c r="H51" s="5"/>
      <c r="I51" s="5"/>
      <c r="J51" s="7"/>
      <c r="K51" s="7"/>
      <c r="L51" s="5"/>
      <c r="M51" s="8" t="str">
        <f aca="true">IF(B51="","",IF(L51="Hidden","Hidden",IF(AND(J51&lt;&gt;"",J51&gt;TODAY()),"Scheduled",IF(AND(K51&lt;&gt;"",K51&lt;TODAY()),"Expired","Showing"))))</f>
        <v/>
      </c>
    </row>
    <row r="52" customFormat="false" ht="15" hidden="false" customHeight="false" outlineLevel="0" collapsed="false">
      <c r="A52" s="5"/>
      <c r="B52" s="5"/>
      <c r="C52" s="5"/>
      <c r="D52" s="5"/>
      <c r="E52" s="5"/>
      <c r="F52" s="5"/>
      <c r="G52" s="5"/>
      <c r="H52" s="5"/>
      <c r="I52" s="5"/>
      <c r="J52" s="7"/>
      <c r="K52" s="7"/>
      <c r="L52" s="5"/>
      <c r="M52" s="8" t="str">
        <f aca="true">IF(B52="","",IF(L52="Hidden","Hidden",IF(AND(J52&lt;&gt;"",J52&gt;TODAY()),"Scheduled",IF(AND(K52&lt;&gt;"",K52&lt;TODAY()),"Expired","Showing"))))</f>
        <v/>
      </c>
    </row>
    <row r="53" customFormat="false" ht="15" hidden="false" customHeight="false" outlineLevel="0" collapsed="false">
      <c r="A53" s="5"/>
      <c r="B53" s="5"/>
      <c r="C53" s="5"/>
      <c r="D53" s="5"/>
      <c r="E53" s="5"/>
      <c r="F53" s="5"/>
      <c r="G53" s="5"/>
      <c r="H53" s="5"/>
      <c r="I53" s="5"/>
      <c r="J53" s="7"/>
      <c r="K53" s="7"/>
      <c r="L53" s="5"/>
      <c r="M53" s="8" t="str">
        <f aca="true">IF(B53="","",IF(L53="Hidden","Hidden",IF(AND(J53&lt;&gt;"",J53&gt;TODAY()),"Scheduled",IF(AND(K53&lt;&gt;"",K53&lt;TODAY()),"Expired","Showing"))))</f>
        <v/>
      </c>
    </row>
    <row r="54" customFormat="false" ht="15" hidden="false" customHeight="false" outlineLevel="0" collapsed="false">
      <c r="A54" s="5"/>
      <c r="B54" s="5"/>
      <c r="C54" s="5"/>
      <c r="D54" s="5"/>
      <c r="E54" s="5"/>
      <c r="F54" s="5"/>
      <c r="G54" s="5"/>
      <c r="H54" s="5"/>
      <c r="I54" s="5"/>
      <c r="J54" s="7"/>
      <c r="K54" s="7"/>
      <c r="L54" s="5"/>
      <c r="M54" s="8" t="str">
        <f aca="true">IF(B54="","",IF(L54="Hidden","Hidden",IF(AND(J54&lt;&gt;"",J54&gt;TODAY()),"Scheduled",IF(AND(K54&lt;&gt;"",K54&lt;TODAY()),"Expired","Showing"))))</f>
        <v/>
      </c>
    </row>
    <row r="55" customFormat="false" ht="15" hidden="false" customHeight="false" outlineLevel="0" collapsed="false">
      <c r="A55" s="5"/>
      <c r="B55" s="5"/>
      <c r="C55" s="5"/>
      <c r="D55" s="5"/>
      <c r="E55" s="5"/>
      <c r="F55" s="5"/>
      <c r="G55" s="5"/>
      <c r="H55" s="5"/>
      <c r="I55" s="5"/>
      <c r="J55" s="7"/>
      <c r="K55" s="7"/>
      <c r="L55" s="5"/>
      <c r="M55" s="8" t="str">
        <f aca="true">IF(B55="","",IF(L55="Hidden","Hidden",IF(AND(J55&lt;&gt;"",J55&gt;TODAY()),"Scheduled",IF(AND(K55&lt;&gt;"",K55&lt;TODAY()),"Expired","Showing"))))</f>
        <v/>
      </c>
    </row>
    <row r="56" customFormat="false" ht="15" hidden="false" customHeight="false" outlineLevel="0" collapsed="false">
      <c r="A56" s="5"/>
      <c r="B56" s="5"/>
      <c r="C56" s="5"/>
      <c r="D56" s="5"/>
      <c r="E56" s="5"/>
      <c r="F56" s="5"/>
      <c r="G56" s="5"/>
      <c r="H56" s="5"/>
      <c r="I56" s="5"/>
      <c r="J56" s="7"/>
      <c r="K56" s="7"/>
      <c r="L56" s="5"/>
      <c r="M56" s="8" t="str">
        <f aca="true">IF(B56="","",IF(L56="Hidden","Hidden",IF(AND(J56&lt;&gt;"",J56&gt;TODAY()),"Scheduled",IF(AND(K56&lt;&gt;"",K56&lt;TODAY()),"Expired","Showing"))))</f>
        <v/>
      </c>
    </row>
    <row r="57" customFormat="false" ht="15" hidden="false" customHeight="false" outlineLevel="0" collapsed="false">
      <c r="A57" s="5"/>
      <c r="B57" s="5"/>
      <c r="C57" s="5"/>
      <c r="D57" s="5"/>
      <c r="E57" s="5"/>
      <c r="F57" s="5"/>
      <c r="G57" s="5"/>
      <c r="H57" s="5"/>
      <c r="I57" s="5"/>
      <c r="J57" s="7"/>
      <c r="K57" s="7"/>
      <c r="L57" s="5"/>
      <c r="M57" s="8" t="str">
        <f aca="true">IF(B57="","",IF(L57="Hidden","Hidden",IF(AND(J57&lt;&gt;"",J57&gt;TODAY()),"Scheduled",IF(AND(K57&lt;&gt;"",K57&lt;TODAY()),"Expired","Showing"))))</f>
        <v/>
      </c>
    </row>
    <row r="58" customFormat="false" ht="15" hidden="false" customHeight="false" outlineLevel="0" collapsed="false">
      <c r="A58" s="5"/>
      <c r="B58" s="5"/>
      <c r="C58" s="5"/>
      <c r="D58" s="5"/>
      <c r="E58" s="5"/>
      <c r="F58" s="5"/>
      <c r="G58" s="5"/>
      <c r="H58" s="5"/>
      <c r="I58" s="5"/>
      <c r="J58" s="7"/>
      <c r="K58" s="7"/>
      <c r="L58" s="5"/>
      <c r="M58" s="8" t="str">
        <f aca="true">IF(B58="","",IF(L58="Hidden","Hidden",IF(AND(J58&lt;&gt;"",J58&gt;TODAY()),"Scheduled",IF(AND(K58&lt;&gt;"",K58&lt;TODAY()),"Expired","Showing"))))</f>
        <v/>
      </c>
    </row>
    <row r="59" customFormat="false" ht="15" hidden="false" customHeight="false" outlineLevel="0" collapsed="false">
      <c r="A59" s="5"/>
      <c r="B59" s="5"/>
      <c r="C59" s="5"/>
      <c r="D59" s="5"/>
      <c r="E59" s="5"/>
      <c r="F59" s="5"/>
      <c r="G59" s="5"/>
      <c r="H59" s="5"/>
      <c r="I59" s="5"/>
      <c r="J59" s="7"/>
      <c r="K59" s="7"/>
      <c r="L59" s="5"/>
      <c r="M59" s="8" t="str">
        <f aca="true">IF(B59="","",IF(L59="Hidden","Hidden",IF(AND(J59&lt;&gt;"",J59&gt;TODAY()),"Scheduled",IF(AND(K59&lt;&gt;"",K59&lt;TODAY()),"Expired","Showing"))))</f>
        <v/>
      </c>
    </row>
    <row r="60" customFormat="false" ht="15" hidden="false" customHeight="false" outlineLevel="0" collapsed="false">
      <c r="A60" s="5"/>
      <c r="B60" s="5"/>
      <c r="C60" s="5"/>
      <c r="D60" s="5"/>
      <c r="E60" s="5"/>
      <c r="F60" s="5"/>
      <c r="G60" s="5"/>
      <c r="H60" s="5"/>
      <c r="I60" s="5"/>
      <c r="J60" s="7"/>
      <c r="K60" s="7"/>
      <c r="L60" s="5"/>
      <c r="M60" s="8" t="str">
        <f aca="true">IF(B60="","",IF(L60="Hidden","Hidden",IF(AND(J60&lt;&gt;"",J60&gt;TODAY()),"Scheduled",IF(AND(K60&lt;&gt;"",K60&lt;TODAY()),"Expired","Showing"))))</f>
        <v/>
      </c>
    </row>
    <row r="61" customFormat="false" ht="15" hidden="false" customHeight="false" outlineLevel="0" collapsed="false">
      <c r="A61" s="5"/>
      <c r="B61" s="5"/>
      <c r="C61" s="5"/>
      <c r="D61" s="5"/>
      <c r="E61" s="5"/>
      <c r="F61" s="5"/>
      <c r="G61" s="5"/>
      <c r="H61" s="5"/>
      <c r="I61" s="5"/>
      <c r="J61" s="7"/>
      <c r="K61" s="7"/>
      <c r="L61" s="5"/>
      <c r="M61" s="8" t="str">
        <f aca="true">IF(B61="","",IF(L61="Hidden","Hidden",IF(AND(J61&lt;&gt;"",J61&gt;TODAY()),"Scheduled",IF(AND(K61&lt;&gt;"",K61&lt;TODAY()),"Expired","Showing"))))</f>
        <v/>
      </c>
    </row>
    <row r="62" customFormat="false" ht="15" hidden="false" customHeight="false" outlineLevel="0" collapsed="false">
      <c r="A62" s="5"/>
      <c r="B62" s="5"/>
      <c r="C62" s="5"/>
      <c r="D62" s="5"/>
      <c r="E62" s="5"/>
      <c r="F62" s="5"/>
      <c r="G62" s="5"/>
      <c r="H62" s="5"/>
      <c r="I62" s="5"/>
      <c r="J62" s="7"/>
      <c r="K62" s="7"/>
      <c r="L62" s="5"/>
      <c r="M62" s="8" t="str">
        <f aca="true">IF(B62="","",IF(L62="Hidden","Hidden",IF(AND(J62&lt;&gt;"",J62&gt;TODAY()),"Scheduled",IF(AND(K62&lt;&gt;"",K62&lt;TODAY()),"Expired","Showing"))))</f>
        <v/>
      </c>
    </row>
    <row r="63" customFormat="false" ht="15" hidden="false" customHeight="false" outlineLevel="0" collapsed="false">
      <c r="A63" s="5"/>
      <c r="B63" s="5"/>
      <c r="C63" s="5"/>
      <c r="D63" s="5"/>
      <c r="E63" s="5"/>
      <c r="F63" s="5"/>
      <c r="G63" s="5"/>
      <c r="H63" s="5"/>
      <c r="I63" s="5"/>
      <c r="J63" s="7"/>
      <c r="K63" s="7"/>
      <c r="L63" s="5"/>
      <c r="M63" s="8" t="str">
        <f aca="true">IF(B63="","",IF(L63="Hidden","Hidden",IF(AND(J63&lt;&gt;"",J63&gt;TODAY()),"Scheduled",IF(AND(K63&lt;&gt;"",K63&lt;TODAY()),"Expired","Showing"))))</f>
        <v/>
      </c>
    </row>
    <row r="64" customFormat="false" ht="15" hidden="false" customHeight="false" outlineLevel="0" collapsed="false">
      <c r="A64" s="5"/>
      <c r="B64" s="5"/>
      <c r="C64" s="5"/>
      <c r="D64" s="5"/>
      <c r="E64" s="5"/>
      <c r="F64" s="5"/>
      <c r="G64" s="5"/>
      <c r="H64" s="5"/>
      <c r="I64" s="5"/>
      <c r="J64" s="7"/>
      <c r="K64" s="7"/>
      <c r="L64" s="5"/>
      <c r="M64" s="8" t="str">
        <f aca="true">IF(B64="","",IF(L64="Hidden","Hidden",IF(AND(J64&lt;&gt;"",J64&gt;TODAY()),"Scheduled",IF(AND(K64&lt;&gt;"",K64&lt;TODAY()),"Expired","Showing"))))</f>
        <v/>
      </c>
    </row>
    <row r="65" customFormat="false" ht="15" hidden="false" customHeight="false" outlineLevel="0" collapsed="false">
      <c r="A65" s="5"/>
      <c r="B65" s="5"/>
      <c r="C65" s="5"/>
      <c r="D65" s="5"/>
      <c r="E65" s="5"/>
      <c r="F65" s="5"/>
      <c r="G65" s="5"/>
      <c r="H65" s="5"/>
      <c r="I65" s="5"/>
      <c r="J65" s="7"/>
      <c r="K65" s="7"/>
      <c r="L65" s="5"/>
      <c r="M65" s="8" t="str">
        <f aca="true">IF(B65="","",IF(L65="Hidden","Hidden",IF(AND(J65&lt;&gt;"",J65&gt;TODAY()),"Scheduled",IF(AND(K65&lt;&gt;"",K65&lt;TODAY()),"Expired","Showing"))))</f>
        <v/>
      </c>
    </row>
    <row r="66" customFormat="false" ht="15" hidden="false" customHeight="false" outlineLevel="0" collapsed="false">
      <c r="A66" s="5"/>
      <c r="B66" s="5"/>
      <c r="C66" s="5"/>
      <c r="D66" s="5"/>
      <c r="E66" s="5"/>
      <c r="F66" s="5"/>
      <c r="G66" s="5"/>
      <c r="H66" s="5"/>
      <c r="I66" s="5"/>
      <c r="J66" s="7"/>
      <c r="K66" s="7"/>
      <c r="L66" s="5"/>
      <c r="M66" s="8" t="str">
        <f aca="true">IF(B66="","",IF(L66="Hidden","Hidden",IF(AND(J66&lt;&gt;"",J66&gt;TODAY()),"Scheduled",IF(AND(K66&lt;&gt;"",K66&lt;TODAY()),"Expired","Showing"))))</f>
        <v/>
      </c>
    </row>
    <row r="67" customFormat="false" ht="15" hidden="false" customHeight="false" outlineLevel="0" collapsed="false">
      <c r="A67" s="5"/>
      <c r="B67" s="5"/>
      <c r="C67" s="5"/>
      <c r="D67" s="5"/>
      <c r="E67" s="5"/>
      <c r="F67" s="5"/>
      <c r="G67" s="5"/>
      <c r="H67" s="5"/>
      <c r="I67" s="5"/>
      <c r="J67" s="7"/>
      <c r="K67" s="7"/>
      <c r="L67" s="5"/>
      <c r="M67" s="8" t="str">
        <f aca="true">IF(B67="","",IF(L67="Hidden","Hidden",IF(AND(J67&lt;&gt;"",J67&gt;TODAY()),"Scheduled",IF(AND(K67&lt;&gt;"",K67&lt;TODAY()),"Expired","Showing"))))</f>
        <v/>
      </c>
    </row>
    <row r="68" customFormat="false" ht="15" hidden="false" customHeight="false" outlineLevel="0" collapsed="false">
      <c r="A68" s="5"/>
      <c r="B68" s="5"/>
      <c r="C68" s="5"/>
      <c r="D68" s="5"/>
      <c r="E68" s="5"/>
      <c r="F68" s="5"/>
      <c r="G68" s="5"/>
      <c r="H68" s="5"/>
      <c r="I68" s="5"/>
      <c r="J68" s="7"/>
      <c r="K68" s="7"/>
      <c r="L68" s="5"/>
      <c r="M68" s="8" t="str">
        <f aca="true">IF(B68="","",IF(L68="Hidden","Hidden",IF(AND(J68&lt;&gt;"",J68&gt;TODAY()),"Scheduled",IF(AND(K68&lt;&gt;"",K68&lt;TODAY()),"Expired","Showing"))))</f>
        <v/>
      </c>
    </row>
    <row r="69" customFormat="false" ht="15" hidden="false" customHeight="false" outlineLevel="0" collapsed="false">
      <c r="A69" s="5"/>
      <c r="B69" s="5"/>
      <c r="C69" s="5"/>
      <c r="D69" s="5"/>
      <c r="E69" s="5"/>
      <c r="F69" s="5"/>
      <c r="G69" s="5"/>
      <c r="H69" s="5"/>
      <c r="I69" s="5"/>
      <c r="J69" s="7"/>
      <c r="K69" s="7"/>
      <c r="L69" s="5"/>
      <c r="M69" s="8" t="str">
        <f aca="true">IF(B69="","",IF(L69="Hidden","Hidden",IF(AND(J69&lt;&gt;"",J69&gt;TODAY()),"Scheduled",IF(AND(K69&lt;&gt;"",K69&lt;TODAY()),"Expired","Showing"))))</f>
        <v/>
      </c>
    </row>
    <row r="70" customFormat="false" ht="15" hidden="false" customHeight="false" outlineLevel="0" collapsed="false">
      <c r="A70" s="5"/>
      <c r="B70" s="5"/>
      <c r="C70" s="5"/>
      <c r="D70" s="5"/>
      <c r="E70" s="5"/>
      <c r="F70" s="5"/>
      <c r="G70" s="5"/>
      <c r="H70" s="5"/>
      <c r="I70" s="5"/>
      <c r="J70" s="7"/>
      <c r="K70" s="7"/>
      <c r="L70" s="5"/>
      <c r="M70" s="8" t="str">
        <f aca="true">IF(B70="","",IF(L70="Hidden","Hidden",IF(AND(J70&lt;&gt;"",J70&gt;TODAY()),"Scheduled",IF(AND(K70&lt;&gt;"",K70&lt;TODAY()),"Expired","Showing"))))</f>
        <v/>
      </c>
    </row>
    <row r="71" customFormat="false" ht="15" hidden="false" customHeight="false" outlineLevel="0" collapsed="false">
      <c r="A71" s="5"/>
      <c r="B71" s="5"/>
      <c r="C71" s="5"/>
      <c r="D71" s="5"/>
      <c r="E71" s="5"/>
      <c r="F71" s="5"/>
      <c r="G71" s="5"/>
      <c r="H71" s="5"/>
      <c r="I71" s="5"/>
      <c r="J71" s="7"/>
      <c r="K71" s="7"/>
      <c r="L71" s="5"/>
      <c r="M71" s="8" t="str">
        <f aca="true">IF(B71="","",IF(L71="Hidden","Hidden",IF(AND(J71&lt;&gt;"",J71&gt;TODAY()),"Scheduled",IF(AND(K71&lt;&gt;"",K71&lt;TODAY()),"Expired","Showing"))))</f>
        <v/>
      </c>
    </row>
    <row r="72" customFormat="false" ht="15" hidden="false" customHeight="false" outlineLevel="0" collapsed="false">
      <c r="A72" s="5"/>
      <c r="B72" s="5"/>
      <c r="C72" s="5"/>
      <c r="D72" s="5"/>
      <c r="E72" s="5"/>
      <c r="F72" s="5"/>
      <c r="G72" s="5"/>
      <c r="H72" s="5"/>
      <c r="I72" s="5"/>
      <c r="J72" s="7"/>
      <c r="K72" s="7"/>
      <c r="L72" s="5"/>
      <c r="M72" s="8" t="str">
        <f aca="true">IF(B72="","",IF(L72="Hidden","Hidden",IF(AND(J72&lt;&gt;"",J72&gt;TODAY()),"Scheduled",IF(AND(K72&lt;&gt;"",K72&lt;TODAY()),"Expired","Showing"))))</f>
        <v/>
      </c>
    </row>
    <row r="73" customFormat="false" ht="15" hidden="false" customHeight="false" outlineLevel="0" collapsed="false">
      <c r="A73" s="5"/>
      <c r="B73" s="5"/>
      <c r="C73" s="5"/>
      <c r="D73" s="5"/>
      <c r="E73" s="5"/>
      <c r="F73" s="5"/>
      <c r="G73" s="5"/>
      <c r="H73" s="5"/>
      <c r="I73" s="5"/>
      <c r="J73" s="7"/>
      <c r="K73" s="7"/>
      <c r="L73" s="5"/>
      <c r="M73" s="8" t="str">
        <f aca="true">IF(B73="","",IF(L73="Hidden","Hidden",IF(AND(J73&lt;&gt;"",J73&gt;TODAY()),"Scheduled",IF(AND(K73&lt;&gt;"",K73&lt;TODAY()),"Expired","Showing"))))</f>
        <v/>
      </c>
    </row>
    <row r="74" customFormat="false" ht="15" hidden="false" customHeight="false" outlineLevel="0" collapsed="false">
      <c r="A74" s="5"/>
      <c r="B74" s="5"/>
      <c r="C74" s="5"/>
      <c r="D74" s="5"/>
      <c r="E74" s="5"/>
      <c r="F74" s="5"/>
      <c r="G74" s="5"/>
      <c r="H74" s="5"/>
      <c r="I74" s="5"/>
      <c r="J74" s="7"/>
      <c r="K74" s="7"/>
      <c r="L74" s="5"/>
      <c r="M74" s="8" t="str">
        <f aca="true">IF(B74="","",IF(L74="Hidden","Hidden",IF(AND(J74&lt;&gt;"",J74&gt;TODAY()),"Scheduled",IF(AND(K74&lt;&gt;"",K74&lt;TODAY()),"Expired","Showing"))))</f>
        <v/>
      </c>
    </row>
    <row r="75" customFormat="false" ht="15" hidden="false" customHeight="false" outlineLevel="0" collapsed="false">
      <c r="A75" s="5"/>
      <c r="B75" s="5"/>
      <c r="C75" s="5"/>
      <c r="D75" s="5"/>
      <c r="E75" s="5"/>
      <c r="F75" s="5"/>
      <c r="G75" s="5"/>
      <c r="H75" s="5"/>
      <c r="I75" s="5"/>
      <c r="J75" s="7"/>
      <c r="K75" s="7"/>
      <c r="L75" s="5"/>
      <c r="M75" s="8" t="str">
        <f aca="true">IF(B75="","",IF(L75="Hidden","Hidden",IF(AND(J75&lt;&gt;"",J75&gt;TODAY()),"Scheduled",IF(AND(K75&lt;&gt;"",K75&lt;TODAY()),"Expired","Showing"))))</f>
        <v/>
      </c>
    </row>
    <row r="76" customFormat="false" ht="15" hidden="false" customHeight="false" outlineLevel="0" collapsed="false">
      <c r="A76" s="5"/>
      <c r="B76" s="5"/>
      <c r="C76" s="5"/>
      <c r="D76" s="5"/>
      <c r="E76" s="5"/>
      <c r="F76" s="5"/>
      <c r="G76" s="5"/>
      <c r="H76" s="5"/>
      <c r="I76" s="5"/>
      <c r="J76" s="7"/>
      <c r="K76" s="7"/>
      <c r="L76" s="5"/>
      <c r="M76" s="8" t="str">
        <f aca="true">IF(B76="","",IF(L76="Hidden","Hidden",IF(AND(J76&lt;&gt;"",J76&gt;TODAY()),"Scheduled",IF(AND(K76&lt;&gt;"",K76&lt;TODAY()),"Expired","Showing"))))</f>
        <v/>
      </c>
    </row>
    <row r="77" customFormat="false" ht="15" hidden="false" customHeight="false" outlineLevel="0" collapsed="false">
      <c r="A77" s="5"/>
      <c r="B77" s="5"/>
      <c r="C77" s="5"/>
      <c r="D77" s="5"/>
      <c r="E77" s="5"/>
      <c r="F77" s="5"/>
      <c r="G77" s="5"/>
      <c r="H77" s="5"/>
      <c r="I77" s="5"/>
      <c r="J77" s="7"/>
      <c r="K77" s="7"/>
      <c r="L77" s="5"/>
      <c r="M77" s="8" t="str">
        <f aca="true">IF(B77="","",IF(L77="Hidden","Hidden",IF(AND(J77&lt;&gt;"",J77&gt;TODAY()),"Scheduled",IF(AND(K77&lt;&gt;"",K77&lt;TODAY()),"Expired","Showing"))))</f>
        <v/>
      </c>
    </row>
    <row r="78" customFormat="false" ht="15" hidden="false" customHeight="false" outlineLevel="0" collapsed="false">
      <c r="A78" s="5"/>
      <c r="B78" s="5"/>
      <c r="C78" s="5"/>
      <c r="D78" s="5"/>
      <c r="E78" s="5"/>
      <c r="F78" s="5"/>
      <c r="G78" s="5"/>
      <c r="H78" s="5"/>
      <c r="I78" s="5"/>
      <c r="J78" s="7"/>
      <c r="K78" s="7"/>
      <c r="L78" s="5"/>
      <c r="M78" s="8" t="str">
        <f aca="true">IF(B78="","",IF(L78="Hidden","Hidden",IF(AND(J78&lt;&gt;"",J78&gt;TODAY()),"Scheduled",IF(AND(K78&lt;&gt;"",K78&lt;TODAY()),"Expired","Showing"))))</f>
        <v/>
      </c>
    </row>
    <row r="79" customFormat="false" ht="15" hidden="false" customHeight="false" outlineLevel="0" collapsed="false">
      <c r="A79" s="5"/>
      <c r="B79" s="5"/>
      <c r="C79" s="5"/>
      <c r="D79" s="5"/>
      <c r="E79" s="5"/>
      <c r="F79" s="5"/>
      <c r="G79" s="5"/>
      <c r="H79" s="5"/>
      <c r="I79" s="5"/>
      <c r="J79" s="7"/>
      <c r="K79" s="7"/>
      <c r="L79" s="5"/>
      <c r="M79" s="8" t="str">
        <f aca="true">IF(B79="","",IF(L79="Hidden","Hidden",IF(AND(J79&lt;&gt;"",J79&gt;TODAY()),"Scheduled",IF(AND(K79&lt;&gt;"",K79&lt;TODAY()),"Expired","Showing"))))</f>
        <v/>
      </c>
    </row>
    <row r="80" customFormat="false" ht="15" hidden="false" customHeight="false" outlineLevel="0" collapsed="false">
      <c r="A80" s="5"/>
      <c r="B80" s="5"/>
      <c r="C80" s="5"/>
      <c r="D80" s="5"/>
      <c r="E80" s="5"/>
      <c r="F80" s="5"/>
      <c r="G80" s="5"/>
      <c r="H80" s="5"/>
      <c r="I80" s="5"/>
      <c r="J80" s="7"/>
      <c r="K80" s="7"/>
      <c r="L80" s="5"/>
      <c r="M80" s="8" t="str">
        <f aca="true">IF(B80="","",IF(L80="Hidden","Hidden",IF(AND(J80&lt;&gt;"",J80&gt;TODAY()),"Scheduled",IF(AND(K80&lt;&gt;"",K80&lt;TODAY()),"Expired","Showing"))))</f>
        <v/>
      </c>
    </row>
    <row r="81" customFormat="false" ht="15" hidden="false" customHeight="false" outlineLevel="0" collapsed="false">
      <c r="A81" s="5"/>
      <c r="B81" s="5"/>
      <c r="C81" s="5"/>
      <c r="D81" s="5"/>
      <c r="E81" s="5"/>
      <c r="F81" s="5"/>
      <c r="G81" s="5"/>
      <c r="H81" s="5"/>
      <c r="I81" s="5"/>
      <c r="J81" s="7"/>
      <c r="K81" s="7"/>
      <c r="L81" s="5"/>
      <c r="M81" s="8" t="str">
        <f aca="true">IF(B81="","",IF(L81="Hidden","Hidden",IF(AND(J81&lt;&gt;"",J81&gt;TODAY()),"Scheduled",IF(AND(K81&lt;&gt;"",K81&lt;TODAY()),"Expired","Showing"))))</f>
        <v/>
      </c>
    </row>
    <row r="82" customFormat="false" ht="15" hidden="false" customHeight="false" outlineLevel="0" collapsed="false">
      <c r="A82" s="5"/>
      <c r="B82" s="5"/>
      <c r="C82" s="5"/>
      <c r="D82" s="5"/>
      <c r="E82" s="5"/>
      <c r="F82" s="5"/>
      <c r="G82" s="5"/>
      <c r="H82" s="5"/>
      <c r="I82" s="5"/>
      <c r="J82" s="7"/>
      <c r="K82" s="7"/>
      <c r="L82" s="5"/>
      <c r="M82" s="8" t="str">
        <f aca="true">IF(B82="","",IF(L82="Hidden","Hidden",IF(AND(J82&lt;&gt;"",J82&gt;TODAY()),"Scheduled",IF(AND(K82&lt;&gt;"",K82&lt;TODAY()),"Expired","Showing"))))</f>
        <v/>
      </c>
    </row>
    <row r="83" customFormat="false" ht="15" hidden="false" customHeight="false" outlineLevel="0" collapsed="false">
      <c r="A83" s="5"/>
      <c r="B83" s="5"/>
      <c r="C83" s="5"/>
      <c r="D83" s="5"/>
      <c r="E83" s="5"/>
      <c r="F83" s="5"/>
      <c r="G83" s="5"/>
      <c r="H83" s="5"/>
      <c r="I83" s="5"/>
      <c r="J83" s="7"/>
      <c r="K83" s="7"/>
      <c r="L83" s="5"/>
      <c r="M83" s="8" t="str">
        <f aca="true">IF(B83="","",IF(L83="Hidden","Hidden",IF(AND(J83&lt;&gt;"",J83&gt;TODAY()),"Scheduled",IF(AND(K83&lt;&gt;"",K83&lt;TODAY()),"Expired","Showing"))))</f>
        <v/>
      </c>
    </row>
    <row r="84" customFormat="false" ht="15" hidden="false" customHeight="false" outlineLevel="0" collapsed="false">
      <c r="A84" s="5"/>
      <c r="B84" s="5"/>
      <c r="C84" s="5"/>
      <c r="D84" s="5"/>
      <c r="E84" s="5"/>
      <c r="F84" s="5"/>
      <c r="G84" s="5"/>
      <c r="H84" s="5"/>
      <c r="I84" s="5"/>
      <c r="J84" s="7"/>
      <c r="K84" s="7"/>
      <c r="L84" s="5"/>
      <c r="M84" s="8" t="str">
        <f aca="true">IF(B84="","",IF(L84="Hidden","Hidden",IF(AND(J84&lt;&gt;"",J84&gt;TODAY()),"Scheduled",IF(AND(K84&lt;&gt;"",K84&lt;TODAY()),"Expired","Showing"))))</f>
        <v/>
      </c>
    </row>
    <row r="85" customFormat="false" ht="15" hidden="false" customHeight="false" outlineLevel="0" collapsed="false">
      <c r="A85" s="5"/>
      <c r="B85" s="5"/>
      <c r="C85" s="5"/>
      <c r="D85" s="5"/>
      <c r="E85" s="5"/>
      <c r="F85" s="5"/>
      <c r="G85" s="5"/>
      <c r="H85" s="5"/>
      <c r="I85" s="5"/>
      <c r="J85" s="7"/>
      <c r="K85" s="7"/>
      <c r="L85" s="5"/>
      <c r="M85" s="8" t="str">
        <f aca="true">IF(B85="","",IF(L85="Hidden","Hidden",IF(AND(J85&lt;&gt;"",J85&gt;TODAY()),"Scheduled",IF(AND(K85&lt;&gt;"",K85&lt;TODAY()),"Expired","Showing"))))</f>
        <v/>
      </c>
    </row>
    <row r="86" customFormat="false" ht="15" hidden="false" customHeight="false" outlineLevel="0" collapsed="false">
      <c r="A86" s="5"/>
      <c r="B86" s="5"/>
      <c r="C86" s="5"/>
      <c r="D86" s="5"/>
      <c r="E86" s="5"/>
      <c r="F86" s="5"/>
      <c r="G86" s="5"/>
      <c r="H86" s="5"/>
      <c r="I86" s="5"/>
      <c r="J86" s="7"/>
      <c r="K86" s="7"/>
      <c r="L86" s="5"/>
      <c r="M86" s="8" t="str">
        <f aca="true">IF(B86="","",IF(L86="Hidden","Hidden",IF(AND(J86&lt;&gt;"",J86&gt;TODAY()),"Scheduled",IF(AND(K86&lt;&gt;"",K86&lt;TODAY()),"Expired","Showing"))))</f>
        <v/>
      </c>
    </row>
    <row r="87" customFormat="false" ht="15" hidden="false" customHeight="false" outlineLevel="0" collapsed="false">
      <c r="A87" s="5"/>
      <c r="B87" s="5"/>
      <c r="C87" s="5"/>
      <c r="D87" s="5"/>
      <c r="E87" s="5"/>
      <c r="F87" s="5"/>
      <c r="G87" s="5"/>
      <c r="H87" s="5"/>
      <c r="I87" s="5"/>
      <c r="J87" s="7"/>
      <c r="K87" s="7"/>
      <c r="L87" s="5"/>
      <c r="M87" s="8" t="str">
        <f aca="true">IF(B87="","",IF(L87="Hidden","Hidden",IF(AND(J87&lt;&gt;"",J87&gt;TODAY()),"Scheduled",IF(AND(K87&lt;&gt;"",K87&lt;TODAY()),"Expired","Showing"))))</f>
        <v/>
      </c>
    </row>
    <row r="88" customFormat="false" ht="15" hidden="false" customHeight="false" outlineLevel="0" collapsed="false">
      <c r="A88" s="5"/>
      <c r="B88" s="5"/>
      <c r="C88" s="5"/>
      <c r="D88" s="5"/>
      <c r="E88" s="5"/>
      <c r="F88" s="5"/>
      <c r="G88" s="5"/>
      <c r="H88" s="5"/>
      <c r="I88" s="5"/>
      <c r="J88" s="7"/>
      <c r="K88" s="7"/>
      <c r="L88" s="5"/>
      <c r="M88" s="8" t="str">
        <f aca="true">IF(B88="","",IF(L88="Hidden","Hidden",IF(AND(J88&lt;&gt;"",J88&gt;TODAY()),"Scheduled",IF(AND(K88&lt;&gt;"",K88&lt;TODAY()),"Expired","Showing"))))</f>
        <v/>
      </c>
    </row>
    <row r="89" customFormat="false" ht="15" hidden="false" customHeight="false" outlineLevel="0" collapsed="false">
      <c r="A89" s="5"/>
      <c r="B89" s="5"/>
      <c r="C89" s="5"/>
      <c r="D89" s="5"/>
      <c r="E89" s="5"/>
      <c r="F89" s="5"/>
      <c r="G89" s="5"/>
      <c r="H89" s="5"/>
      <c r="I89" s="5"/>
      <c r="J89" s="7"/>
      <c r="K89" s="7"/>
      <c r="L89" s="5"/>
      <c r="M89" s="8" t="str">
        <f aca="true">IF(B89="","",IF(L89="Hidden","Hidden",IF(AND(J89&lt;&gt;"",J89&gt;TODAY()),"Scheduled",IF(AND(K89&lt;&gt;"",K89&lt;TODAY()),"Expired","Showing"))))</f>
        <v/>
      </c>
    </row>
    <row r="90" customFormat="false" ht="15" hidden="false" customHeight="false" outlineLevel="0" collapsed="false">
      <c r="A90" s="5"/>
      <c r="B90" s="5"/>
      <c r="C90" s="5"/>
      <c r="D90" s="5"/>
      <c r="E90" s="5"/>
      <c r="F90" s="5"/>
      <c r="G90" s="5"/>
      <c r="H90" s="5"/>
      <c r="I90" s="5"/>
      <c r="J90" s="7"/>
      <c r="K90" s="7"/>
      <c r="L90" s="5"/>
      <c r="M90" s="8" t="str">
        <f aca="true">IF(B90="","",IF(L90="Hidden","Hidden",IF(AND(J90&lt;&gt;"",J90&gt;TODAY()),"Scheduled",IF(AND(K90&lt;&gt;"",K90&lt;TODAY()),"Expired","Showing"))))</f>
        <v/>
      </c>
    </row>
    <row r="91" customFormat="false" ht="15" hidden="false" customHeight="false" outlineLevel="0" collapsed="false">
      <c r="A91" s="5"/>
      <c r="B91" s="5"/>
      <c r="C91" s="5"/>
      <c r="D91" s="5"/>
      <c r="E91" s="5"/>
      <c r="F91" s="5"/>
      <c r="G91" s="5"/>
      <c r="H91" s="5"/>
      <c r="I91" s="5"/>
      <c r="J91" s="7"/>
      <c r="K91" s="7"/>
      <c r="L91" s="5"/>
      <c r="M91" s="8" t="str">
        <f aca="true">IF(B91="","",IF(L91="Hidden","Hidden",IF(AND(J91&lt;&gt;"",J91&gt;TODAY()),"Scheduled",IF(AND(K91&lt;&gt;"",K91&lt;TODAY()),"Expired","Showing"))))</f>
        <v/>
      </c>
    </row>
    <row r="92" customFormat="false" ht="15" hidden="false" customHeight="false" outlineLevel="0" collapsed="false">
      <c r="A92" s="5"/>
      <c r="B92" s="5"/>
      <c r="C92" s="5"/>
      <c r="D92" s="5"/>
      <c r="E92" s="5"/>
      <c r="F92" s="5"/>
      <c r="G92" s="5"/>
      <c r="H92" s="5"/>
      <c r="I92" s="5"/>
      <c r="J92" s="7"/>
      <c r="K92" s="7"/>
      <c r="L92" s="5"/>
      <c r="M92" s="8" t="str">
        <f aca="true">IF(B92="","",IF(L92="Hidden","Hidden",IF(AND(J92&lt;&gt;"",J92&gt;TODAY()),"Scheduled",IF(AND(K92&lt;&gt;"",K92&lt;TODAY()),"Expired","Showing"))))</f>
        <v/>
      </c>
    </row>
    <row r="93" customFormat="false" ht="15" hidden="false" customHeight="false" outlineLevel="0" collapsed="false">
      <c r="A93" s="5"/>
      <c r="B93" s="5"/>
      <c r="C93" s="5"/>
      <c r="D93" s="5"/>
      <c r="E93" s="5"/>
      <c r="F93" s="5"/>
      <c r="G93" s="5"/>
      <c r="H93" s="5"/>
      <c r="I93" s="5"/>
      <c r="J93" s="7"/>
      <c r="K93" s="7"/>
      <c r="L93" s="5"/>
      <c r="M93" s="8" t="str">
        <f aca="true">IF(B93="","",IF(L93="Hidden","Hidden",IF(AND(J93&lt;&gt;"",J93&gt;TODAY()),"Scheduled",IF(AND(K93&lt;&gt;"",K93&lt;TODAY()),"Expired","Showing"))))</f>
        <v/>
      </c>
    </row>
    <row r="94" customFormat="false" ht="15" hidden="false" customHeight="false" outlineLevel="0" collapsed="false">
      <c r="A94" s="5"/>
      <c r="B94" s="5"/>
      <c r="C94" s="5"/>
      <c r="D94" s="5"/>
      <c r="E94" s="5"/>
      <c r="F94" s="5"/>
      <c r="G94" s="5"/>
      <c r="H94" s="5"/>
      <c r="I94" s="5"/>
      <c r="J94" s="7"/>
      <c r="K94" s="7"/>
      <c r="L94" s="5"/>
      <c r="M94" s="8" t="str">
        <f aca="true">IF(B94="","",IF(L94="Hidden","Hidden",IF(AND(J94&lt;&gt;"",J94&gt;TODAY()),"Scheduled",IF(AND(K94&lt;&gt;"",K94&lt;TODAY()),"Expired","Showing"))))</f>
        <v/>
      </c>
    </row>
    <row r="95" customFormat="false" ht="15" hidden="false" customHeight="false" outlineLevel="0" collapsed="false">
      <c r="A95" s="5"/>
      <c r="B95" s="5"/>
      <c r="C95" s="5"/>
      <c r="D95" s="5"/>
      <c r="E95" s="5"/>
      <c r="F95" s="5"/>
      <c r="G95" s="5"/>
      <c r="H95" s="5"/>
      <c r="I95" s="5"/>
      <c r="J95" s="7"/>
      <c r="K95" s="7"/>
      <c r="L95" s="5"/>
      <c r="M95" s="8" t="str">
        <f aca="true">IF(B95="","",IF(L95="Hidden","Hidden",IF(AND(J95&lt;&gt;"",J95&gt;TODAY()),"Scheduled",IF(AND(K95&lt;&gt;"",K95&lt;TODAY()),"Expired","Showing"))))</f>
        <v/>
      </c>
    </row>
    <row r="96" customFormat="false" ht="15" hidden="false" customHeight="false" outlineLevel="0" collapsed="false">
      <c r="A96" s="5"/>
      <c r="B96" s="5"/>
      <c r="C96" s="5"/>
      <c r="D96" s="5"/>
      <c r="E96" s="5"/>
      <c r="F96" s="5"/>
      <c r="G96" s="5"/>
      <c r="H96" s="5"/>
      <c r="I96" s="5"/>
      <c r="J96" s="7"/>
      <c r="K96" s="7"/>
      <c r="L96" s="5"/>
      <c r="M96" s="8" t="str">
        <f aca="true">IF(B96="","",IF(L96="Hidden","Hidden",IF(AND(J96&lt;&gt;"",J96&gt;TODAY()),"Scheduled",IF(AND(K96&lt;&gt;"",K96&lt;TODAY()),"Expired","Showing"))))</f>
        <v/>
      </c>
    </row>
    <row r="97" customFormat="false" ht="15" hidden="false" customHeight="false" outlineLevel="0" collapsed="false">
      <c r="A97" s="5"/>
      <c r="B97" s="5"/>
      <c r="C97" s="5"/>
      <c r="D97" s="5"/>
      <c r="E97" s="5"/>
      <c r="F97" s="5"/>
      <c r="G97" s="5"/>
      <c r="H97" s="5"/>
      <c r="I97" s="5"/>
      <c r="J97" s="7"/>
      <c r="K97" s="7"/>
      <c r="L97" s="5"/>
      <c r="M97" s="8" t="str">
        <f aca="true">IF(B97="","",IF(L97="Hidden","Hidden",IF(AND(J97&lt;&gt;"",J97&gt;TODAY()),"Scheduled",IF(AND(K97&lt;&gt;"",K97&lt;TODAY()),"Expired","Showing"))))</f>
        <v/>
      </c>
    </row>
    <row r="98" customFormat="false" ht="15" hidden="false" customHeight="false" outlineLevel="0" collapsed="false">
      <c r="A98" s="5"/>
      <c r="B98" s="5"/>
      <c r="C98" s="5"/>
      <c r="D98" s="5"/>
      <c r="E98" s="5"/>
      <c r="F98" s="5"/>
      <c r="G98" s="5"/>
      <c r="H98" s="5"/>
      <c r="I98" s="5"/>
      <c r="J98" s="7"/>
      <c r="K98" s="7"/>
      <c r="L98" s="5"/>
      <c r="M98" s="8" t="str">
        <f aca="true">IF(B98="","",IF(L98="Hidden","Hidden",IF(AND(J98&lt;&gt;"",J98&gt;TODAY()),"Scheduled",IF(AND(K98&lt;&gt;"",K98&lt;TODAY()),"Expired","Showing"))))</f>
        <v/>
      </c>
    </row>
    <row r="99" customFormat="false" ht="15" hidden="false" customHeight="false" outlineLevel="0" collapsed="false">
      <c r="A99" s="5"/>
      <c r="B99" s="5"/>
      <c r="C99" s="5"/>
      <c r="D99" s="5"/>
      <c r="E99" s="5"/>
      <c r="F99" s="5"/>
      <c r="G99" s="5"/>
      <c r="H99" s="5"/>
      <c r="I99" s="5"/>
      <c r="J99" s="7"/>
      <c r="K99" s="7"/>
      <c r="L99" s="5"/>
      <c r="M99" s="8" t="str">
        <f aca="true">IF(B99="","",IF(L99="Hidden","Hidden",IF(AND(J99&lt;&gt;"",J99&gt;TODAY()),"Scheduled",IF(AND(K99&lt;&gt;"",K99&lt;TODAY()),"Expired","Showing"))))</f>
        <v/>
      </c>
    </row>
    <row r="100" customFormat="false" ht="15" hidden="false" customHeight="false" outlineLevel="0" collapsed="false">
      <c r="A100" s="5"/>
      <c r="B100" s="5"/>
      <c r="C100" s="5"/>
      <c r="D100" s="5"/>
      <c r="E100" s="5"/>
      <c r="F100" s="5"/>
      <c r="G100" s="5"/>
      <c r="H100" s="5"/>
      <c r="I100" s="5"/>
      <c r="J100" s="7"/>
      <c r="K100" s="7"/>
      <c r="L100" s="5"/>
      <c r="M100" s="8" t="str">
        <f aca="true">IF(B100="","",IF(L100="Hidden","Hidden",IF(AND(J100&lt;&gt;"",J100&gt;TODAY()),"Scheduled",IF(AND(K100&lt;&gt;"",K100&lt;TODAY()),"Expired","Showing"))))</f>
        <v/>
      </c>
    </row>
    <row r="101" customFormat="false" ht="15" hidden="false" customHeight="false" outlineLevel="0" collapsed="false">
      <c r="A101" s="5"/>
      <c r="B101" s="5"/>
      <c r="C101" s="5"/>
      <c r="D101" s="5"/>
      <c r="E101" s="5"/>
      <c r="F101" s="5"/>
      <c r="G101" s="5"/>
      <c r="H101" s="5"/>
      <c r="I101" s="5"/>
      <c r="J101" s="7"/>
      <c r="K101" s="7"/>
      <c r="L101" s="5"/>
      <c r="M101" s="8" t="str">
        <f aca="true">IF(B101="","",IF(L101="Hidden","Hidden",IF(AND(J101&lt;&gt;"",J101&gt;TODAY()),"Scheduled",IF(AND(K101&lt;&gt;"",K101&lt;TODAY()),"Expired","Showing"))))</f>
        <v/>
      </c>
    </row>
    <row r="102" customFormat="false" ht="15" hidden="false" customHeight="false" outlineLevel="0" collapsed="false">
      <c r="A102" s="5"/>
      <c r="B102" s="5"/>
      <c r="C102" s="5"/>
      <c r="D102" s="5"/>
      <c r="E102" s="5"/>
      <c r="F102" s="5"/>
      <c r="G102" s="5"/>
      <c r="H102" s="5"/>
      <c r="I102" s="5"/>
      <c r="J102" s="7"/>
      <c r="K102" s="7"/>
      <c r="L102" s="5"/>
      <c r="M102" s="8" t="str">
        <f aca="true">IF(B102="","",IF(L102="Hidden","Hidden",IF(AND(J102&lt;&gt;"",J102&gt;TODAY()),"Scheduled",IF(AND(K102&lt;&gt;"",K102&lt;TODAY()),"Expired","Showing"))))</f>
        <v/>
      </c>
    </row>
    <row r="103" customFormat="false" ht="15" hidden="false" customHeight="false" outlineLevel="0" collapsed="false">
      <c r="A103" s="5"/>
      <c r="B103" s="5"/>
      <c r="C103" s="5"/>
      <c r="D103" s="5"/>
      <c r="E103" s="5"/>
      <c r="F103" s="5"/>
      <c r="G103" s="5"/>
      <c r="H103" s="5"/>
      <c r="I103" s="5"/>
      <c r="J103" s="7"/>
      <c r="K103" s="7"/>
      <c r="L103" s="5"/>
      <c r="M103" s="8" t="str">
        <f aca="true">IF(B103="","",IF(L103="Hidden","Hidden",IF(AND(J103&lt;&gt;"",J103&gt;TODAY()),"Scheduled",IF(AND(K103&lt;&gt;"",K103&lt;TODAY()),"Expired","Showing"))))</f>
        <v/>
      </c>
    </row>
    <row r="104" customFormat="false" ht="15" hidden="false" customHeight="false" outlineLevel="0" collapsed="false">
      <c r="A104" s="5"/>
      <c r="B104" s="5"/>
      <c r="C104" s="5"/>
      <c r="D104" s="5"/>
      <c r="E104" s="5"/>
      <c r="F104" s="5"/>
      <c r="G104" s="5"/>
      <c r="H104" s="5"/>
      <c r="I104" s="5"/>
      <c r="J104" s="7"/>
      <c r="K104" s="7"/>
      <c r="L104" s="5"/>
      <c r="M104" s="8" t="str">
        <f aca="true">IF(B104="","",IF(L104="Hidden","Hidden",IF(AND(J104&lt;&gt;"",J104&gt;TODAY()),"Scheduled",IF(AND(K104&lt;&gt;"",K104&lt;TODAY()),"Expired","Showing"))))</f>
        <v/>
      </c>
    </row>
    <row r="105" customFormat="false" ht="15" hidden="false" customHeight="false" outlineLevel="0" collapsed="false">
      <c r="A105" s="5"/>
      <c r="B105" s="5"/>
      <c r="C105" s="5"/>
      <c r="D105" s="5"/>
      <c r="E105" s="5"/>
      <c r="F105" s="5"/>
      <c r="G105" s="5"/>
      <c r="H105" s="5"/>
      <c r="I105" s="5"/>
      <c r="J105" s="7"/>
      <c r="K105" s="7"/>
      <c r="L105" s="5"/>
      <c r="M105" s="8" t="str">
        <f aca="true">IF(B105="","",IF(L105="Hidden","Hidden",IF(AND(J105&lt;&gt;"",J105&gt;TODAY()),"Scheduled",IF(AND(K105&lt;&gt;"",K105&lt;TODAY()),"Expired","Showing"))))</f>
        <v/>
      </c>
    </row>
    <row r="106" customFormat="false" ht="15" hidden="false" customHeight="false" outlineLevel="0" collapsed="false">
      <c r="A106" s="5"/>
      <c r="B106" s="5"/>
      <c r="C106" s="5"/>
      <c r="D106" s="5"/>
      <c r="E106" s="5"/>
      <c r="F106" s="5"/>
      <c r="G106" s="5"/>
      <c r="H106" s="5"/>
      <c r="I106" s="5"/>
      <c r="J106" s="7"/>
      <c r="K106" s="7"/>
      <c r="L106" s="5"/>
      <c r="M106" s="8" t="str">
        <f aca="true">IF(B106="","",IF(L106="Hidden","Hidden",IF(AND(J106&lt;&gt;"",J106&gt;TODAY()),"Scheduled",IF(AND(K106&lt;&gt;"",K106&lt;TODAY()),"Expired","Showing"))))</f>
        <v/>
      </c>
    </row>
    <row r="107" customFormat="false" ht="15" hidden="false" customHeight="false" outlineLevel="0" collapsed="false">
      <c r="A107" s="5"/>
      <c r="B107" s="5"/>
      <c r="C107" s="5"/>
      <c r="D107" s="5"/>
      <c r="E107" s="5"/>
      <c r="F107" s="5"/>
      <c r="G107" s="5"/>
      <c r="H107" s="5"/>
      <c r="I107" s="5"/>
      <c r="J107" s="7"/>
      <c r="K107" s="7"/>
      <c r="L107" s="5"/>
      <c r="M107" s="8" t="str">
        <f aca="true">IF(B107="","",IF(L107="Hidden","Hidden",IF(AND(J107&lt;&gt;"",J107&gt;TODAY()),"Scheduled",IF(AND(K107&lt;&gt;"",K107&lt;TODAY()),"Expired","Showing"))))</f>
        <v/>
      </c>
    </row>
    <row r="108" customFormat="false" ht="15" hidden="false" customHeight="false" outlineLevel="0" collapsed="false">
      <c r="A108" s="5"/>
      <c r="B108" s="5"/>
      <c r="C108" s="5"/>
      <c r="D108" s="5"/>
      <c r="E108" s="5"/>
      <c r="F108" s="5"/>
      <c r="G108" s="5"/>
      <c r="H108" s="5"/>
      <c r="I108" s="5"/>
      <c r="J108" s="7"/>
      <c r="K108" s="7"/>
      <c r="L108" s="5"/>
      <c r="M108" s="8" t="str">
        <f aca="true">IF(B108="","",IF(L108="Hidden","Hidden",IF(AND(J108&lt;&gt;"",J108&gt;TODAY()),"Scheduled",IF(AND(K108&lt;&gt;"",K108&lt;TODAY()),"Expired","Showing"))))</f>
        <v/>
      </c>
    </row>
    <row r="109" customFormat="false" ht="15" hidden="false" customHeight="false" outlineLevel="0" collapsed="false">
      <c r="A109" s="5"/>
      <c r="B109" s="5"/>
      <c r="C109" s="5"/>
      <c r="D109" s="5"/>
      <c r="E109" s="5"/>
      <c r="F109" s="5"/>
      <c r="G109" s="5"/>
      <c r="H109" s="5"/>
      <c r="I109" s="5"/>
      <c r="J109" s="7"/>
      <c r="K109" s="7"/>
      <c r="L109" s="5"/>
      <c r="M109" s="8" t="str">
        <f aca="true">IF(B109="","",IF(L109="Hidden","Hidden",IF(AND(J109&lt;&gt;"",J109&gt;TODAY()),"Scheduled",IF(AND(K109&lt;&gt;"",K109&lt;TODAY()),"Expired","Showing"))))</f>
        <v/>
      </c>
    </row>
    <row r="110" customFormat="false" ht="15" hidden="false" customHeight="false" outlineLevel="0" collapsed="false">
      <c r="A110" s="5"/>
      <c r="B110" s="5"/>
      <c r="C110" s="5"/>
      <c r="D110" s="5"/>
      <c r="E110" s="5"/>
      <c r="F110" s="5"/>
      <c r="G110" s="5"/>
      <c r="H110" s="5"/>
      <c r="I110" s="5"/>
      <c r="J110" s="7"/>
      <c r="K110" s="7"/>
      <c r="L110" s="5"/>
      <c r="M110" s="8" t="str">
        <f aca="true">IF(B110="","",IF(L110="Hidden","Hidden",IF(AND(J110&lt;&gt;"",J110&gt;TODAY()),"Scheduled",IF(AND(K110&lt;&gt;"",K110&lt;TODAY()),"Expired","Showing"))))</f>
        <v/>
      </c>
    </row>
    <row r="111" customFormat="false" ht="15" hidden="false" customHeight="false" outlineLevel="0" collapsed="false">
      <c r="A111" s="5"/>
      <c r="B111" s="5"/>
      <c r="C111" s="5"/>
      <c r="D111" s="5"/>
      <c r="E111" s="5"/>
      <c r="F111" s="5"/>
      <c r="G111" s="5"/>
      <c r="H111" s="5"/>
      <c r="I111" s="5"/>
      <c r="J111" s="7"/>
      <c r="K111" s="7"/>
      <c r="L111" s="5"/>
      <c r="M111" s="8" t="str">
        <f aca="true">IF(B111="","",IF(L111="Hidden","Hidden",IF(AND(J111&lt;&gt;"",J111&gt;TODAY()),"Scheduled",IF(AND(K111&lt;&gt;"",K111&lt;TODAY()),"Expired","Showing"))))</f>
        <v/>
      </c>
    </row>
    <row r="112" customFormat="false" ht="15" hidden="false" customHeight="false" outlineLevel="0" collapsed="false">
      <c r="A112" s="5"/>
      <c r="B112" s="5"/>
      <c r="C112" s="5"/>
      <c r="D112" s="5"/>
      <c r="E112" s="5"/>
      <c r="F112" s="5"/>
      <c r="G112" s="5"/>
      <c r="H112" s="5"/>
      <c r="I112" s="5"/>
      <c r="J112" s="7"/>
      <c r="K112" s="7"/>
      <c r="L112" s="5"/>
      <c r="M112" s="8" t="str">
        <f aca="true">IF(B112="","",IF(L112="Hidden","Hidden",IF(AND(J112&lt;&gt;"",J112&gt;TODAY()),"Scheduled",IF(AND(K112&lt;&gt;"",K112&lt;TODAY()),"Expired","Showing"))))</f>
        <v/>
      </c>
    </row>
    <row r="113" customFormat="false" ht="15" hidden="false" customHeight="false" outlineLevel="0" collapsed="false">
      <c r="A113" s="5"/>
      <c r="B113" s="5"/>
      <c r="C113" s="5"/>
      <c r="D113" s="5"/>
      <c r="E113" s="5"/>
      <c r="F113" s="5"/>
      <c r="G113" s="5"/>
      <c r="H113" s="5"/>
      <c r="I113" s="5"/>
      <c r="J113" s="7"/>
      <c r="K113" s="7"/>
      <c r="L113" s="5"/>
      <c r="M113" s="8" t="str">
        <f aca="true">IF(B113="","",IF(L113="Hidden","Hidden",IF(AND(J113&lt;&gt;"",J113&gt;TODAY()),"Scheduled",IF(AND(K113&lt;&gt;"",K113&lt;TODAY()),"Expired","Showing"))))</f>
        <v/>
      </c>
    </row>
    <row r="114" customFormat="false" ht="15" hidden="false" customHeight="false" outlineLevel="0" collapsed="false">
      <c r="A114" s="5"/>
      <c r="B114" s="5"/>
      <c r="C114" s="5"/>
      <c r="D114" s="5"/>
      <c r="E114" s="5"/>
      <c r="F114" s="5"/>
      <c r="G114" s="5"/>
      <c r="H114" s="5"/>
      <c r="I114" s="5"/>
      <c r="J114" s="7"/>
      <c r="K114" s="7"/>
      <c r="L114" s="5"/>
      <c r="M114" s="8" t="str">
        <f aca="true">IF(B114="","",IF(L114="Hidden","Hidden",IF(AND(J114&lt;&gt;"",J114&gt;TODAY()),"Scheduled",IF(AND(K114&lt;&gt;"",K114&lt;TODAY()),"Expired","Showing"))))</f>
        <v/>
      </c>
    </row>
    <row r="115" customFormat="false" ht="15" hidden="false" customHeight="false" outlineLevel="0" collapsed="false">
      <c r="A115" s="5"/>
      <c r="B115" s="5"/>
      <c r="C115" s="5"/>
      <c r="D115" s="5"/>
      <c r="E115" s="5"/>
      <c r="F115" s="5"/>
      <c r="G115" s="5"/>
      <c r="H115" s="5"/>
      <c r="I115" s="5"/>
      <c r="J115" s="7"/>
      <c r="K115" s="7"/>
      <c r="L115" s="5"/>
      <c r="M115" s="8" t="str">
        <f aca="true">IF(B115="","",IF(L115="Hidden","Hidden",IF(AND(J115&lt;&gt;"",J115&gt;TODAY()),"Scheduled",IF(AND(K115&lt;&gt;"",K115&lt;TODAY()),"Expired","Showing"))))</f>
        <v/>
      </c>
    </row>
    <row r="116" customFormat="false" ht="15" hidden="false" customHeight="false" outlineLevel="0" collapsed="false">
      <c r="A116" s="5"/>
      <c r="B116" s="5"/>
      <c r="C116" s="5"/>
      <c r="D116" s="5"/>
      <c r="E116" s="5"/>
      <c r="F116" s="5"/>
      <c r="G116" s="5"/>
      <c r="H116" s="5"/>
      <c r="I116" s="5"/>
      <c r="J116" s="7"/>
      <c r="K116" s="7"/>
      <c r="L116" s="5"/>
      <c r="M116" s="8" t="str">
        <f aca="true">IF(B116="","",IF(L116="Hidden","Hidden",IF(AND(J116&lt;&gt;"",J116&gt;TODAY()),"Scheduled",IF(AND(K116&lt;&gt;"",K116&lt;TODAY()),"Expired","Showing"))))</f>
        <v/>
      </c>
    </row>
    <row r="117" customFormat="false" ht="15" hidden="false" customHeight="false" outlineLevel="0" collapsed="false">
      <c r="A117" s="5"/>
      <c r="B117" s="5"/>
      <c r="C117" s="5"/>
      <c r="D117" s="5"/>
      <c r="E117" s="5"/>
      <c r="F117" s="5"/>
      <c r="G117" s="5"/>
      <c r="H117" s="5"/>
      <c r="I117" s="5"/>
      <c r="J117" s="7"/>
      <c r="K117" s="7"/>
      <c r="L117" s="5"/>
      <c r="M117" s="8" t="str">
        <f aca="true">IF(B117="","",IF(L117="Hidden","Hidden",IF(AND(J117&lt;&gt;"",J117&gt;TODAY()),"Scheduled",IF(AND(K117&lt;&gt;"",K117&lt;TODAY()),"Expired","Showing"))))</f>
        <v/>
      </c>
    </row>
    <row r="118" customFormat="false" ht="15" hidden="false" customHeight="false" outlineLevel="0" collapsed="false">
      <c r="A118" s="5"/>
      <c r="B118" s="5"/>
      <c r="C118" s="5"/>
      <c r="D118" s="5"/>
      <c r="E118" s="5"/>
      <c r="F118" s="5"/>
      <c r="G118" s="5"/>
      <c r="H118" s="5"/>
      <c r="I118" s="5"/>
      <c r="J118" s="7"/>
      <c r="K118" s="7"/>
      <c r="L118" s="5"/>
      <c r="M118" s="8" t="str">
        <f aca="true">IF(B118="","",IF(L118="Hidden","Hidden",IF(AND(J118&lt;&gt;"",J118&gt;TODAY()),"Scheduled",IF(AND(K118&lt;&gt;"",K118&lt;TODAY()),"Expired","Showing"))))</f>
        <v/>
      </c>
    </row>
    <row r="119" customFormat="false" ht="15" hidden="false" customHeight="false" outlineLevel="0" collapsed="false">
      <c r="A119" s="5"/>
      <c r="B119" s="5"/>
      <c r="C119" s="5"/>
      <c r="D119" s="5"/>
      <c r="E119" s="5"/>
      <c r="F119" s="5"/>
      <c r="G119" s="5"/>
      <c r="H119" s="5"/>
      <c r="I119" s="5"/>
      <c r="J119" s="7"/>
      <c r="K119" s="7"/>
      <c r="L119" s="5"/>
      <c r="M119" s="8" t="str">
        <f aca="true">IF(B119="","",IF(L119="Hidden","Hidden",IF(AND(J119&lt;&gt;"",J119&gt;TODAY()),"Scheduled",IF(AND(K119&lt;&gt;"",K119&lt;TODAY()),"Expired","Showing"))))</f>
        <v/>
      </c>
    </row>
    <row r="120" customFormat="false" ht="15" hidden="false" customHeight="false" outlineLevel="0" collapsed="false">
      <c r="A120" s="5"/>
      <c r="B120" s="5"/>
      <c r="C120" s="5"/>
      <c r="D120" s="5"/>
      <c r="E120" s="5"/>
      <c r="F120" s="5"/>
      <c r="G120" s="5"/>
      <c r="H120" s="5"/>
      <c r="I120" s="5"/>
      <c r="J120" s="7"/>
      <c r="K120" s="7"/>
      <c r="L120" s="5"/>
      <c r="M120" s="8" t="str">
        <f aca="true">IF(B120="","",IF(L120="Hidden","Hidden",IF(AND(J120&lt;&gt;"",J120&gt;TODAY()),"Scheduled",IF(AND(K120&lt;&gt;"",K120&lt;TODAY()),"Expired","Showing"))))</f>
        <v/>
      </c>
    </row>
    <row r="121" customFormat="false" ht="15" hidden="false" customHeight="false" outlineLevel="0" collapsed="false">
      <c r="A121" s="5"/>
      <c r="B121" s="5"/>
      <c r="C121" s="5"/>
      <c r="D121" s="5"/>
      <c r="E121" s="5"/>
      <c r="F121" s="5"/>
      <c r="G121" s="5"/>
      <c r="H121" s="5"/>
      <c r="I121" s="5"/>
      <c r="J121" s="7"/>
      <c r="K121" s="7"/>
      <c r="L121" s="5"/>
      <c r="M121" s="8" t="str">
        <f aca="true">IF(B121="","",IF(L121="Hidden","Hidden",IF(AND(J121&lt;&gt;"",J121&gt;TODAY()),"Scheduled",IF(AND(K121&lt;&gt;"",K121&lt;TODAY()),"Expired","Showing"))))</f>
        <v/>
      </c>
    </row>
    <row r="122" customFormat="false" ht="15" hidden="false" customHeight="false" outlineLevel="0" collapsed="false">
      <c r="A122" s="5"/>
      <c r="B122" s="5"/>
      <c r="C122" s="5"/>
      <c r="D122" s="5"/>
      <c r="E122" s="5"/>
      <c r="F122" s="5"/>
      <c r="G122" s="5"/>
      <c r="H122" s="5"/>
      <c r="I122" s="5"/>
      <c r="J122" s="7"/>
      <c r="K122" s="7"/>
      <c r="L122" s="5"/>
      <c r="M122" s="8" t="str">
        <f aca="true">IF(B122="","",IF(L122="Hidden","Hidden",IF(AND(J122&lt;&gt;"",J122&gt;TODAY()),"Scheduled",IF(AND(K122&lt;&gt;"",K122&lt;TODAY()),"Expired","Showing"))))</f>
        <v/>
      </c>
    </row>
    <row r="123" customFormat="false" ht="15" hidden="false" customHeight="false" outlineLevel="0" collapsed="false">
      <c r="A123" s="5"/>
      <c r="B123" s="5"/>
      <c r="C123" s="5"/>
      <c r="D123" s="5"/>
      <c r="E123" s="5"/>
      <c r="F123" s="5"/>
      <c r="G123" s="5"/>
      <c r="H123" s="5"/>
      <c r="I123" s="5"/>
      <c r="J123" s="7"/>
      <c r="K123" s="7"/>
      <c r="L123" s="5"/>
      <c r="M123" s="8" t="str">
        <f aca="true">IF(B123="","",IF(L123="Hidden","Hidden",IF(AND(J123&lt;&gt;"",J123&gt;TODAY()),"Scheduled",IF(AND(K123&lt;&gt;"",K123&lt;TODAY()),"Expired","Showing"))))</f>
        <v/>
      </c>
    </row>
    <row r="124" customFormat="false" ht="15" hidden="false" customHeight="false" outlineLevel="0" collapsed="false">
      <c r="A124" s="5"/>
      <c r="B124" s="5"/>
      <c r="C124" s="5"/>
      <c r="D124" s="5"/>
      <c r="E124" s="5"/>
      <c r="F124" s="5"/>
      <c r="G124" s="5"/>
      <c r="H124" s="5"/>
      <c r="I124" s="5"/>
      <c r="J124" s="7"/>
      <c r="K124" s="7"/>
      <c r="L124" s="5"/>
      <c r="M124" s="8" t="str">
        <f aca="true">IF(B124="","",IF(L124="Hidden","Hidden",IF(AND(J124&lt;&gt;"",J124&gt;TODAY()),"Scheduled",IF(AND(K124&lt;&gt;"",K124&lt;TODAY()),"Expired","Showing"))))</f>
        <v/>
      </c>
    </row>
    <row r="125" customFormat="false" ht="15" hidden="false" customHeight="false" outlineLevel="0" collapsed="false">
      <c r="A125" s="5"/>
      <c r="B125" s="5"/>
      <c r="C125" s="5"/>
      <c r="D125" s="5"/>
      <c r="E125" s="5"/>
      <c r="F125" s="5"/>
      <c r="G125" s="5"/>
      <c r="H125" s="5"/>
      <c r="I125" s="5"/>
      <c r="J125" s="7"/>
      <c r="K125" s="7"/>
      <c r="L125" s="5"/>
      <c r="M125" s="8" t="str">
        <f aca="true">IF(B125="","",IF(L125="Hidden","Hidden",IF(AND(J125&lt;&gt;"",J125&gt;TODAY()),"Scheduled",IF(AND(K125&lt;&gt;"",K125&lt;TODAY()),"Expired","Showing"))))</f>
        <v/>
      </c>
    </row>
    <row r="126" customFormat="false" ht="15" hidden="false" customHeight="false" outlineLevel="0" collapsed="false">
      <c r="A126" s="5"/>
      <c r="B126" s="5"/>
      <c r="C126" s="5"/>
      <c r="D126" s="5"/>
      <c r="E126" s="5"/>
      <c r="F126" s="5"/>
      <c r="G126" s="5"/>
      <c r="H126" s="5"/>
      <c r="I126" s="5"/>
      <c r="J126" s="7"/>
      <c r="K126" s="7"/>
      <c r="L126" s="5"/>
      <c r="M126" s="8" t="str">
        <f aca="true">IF(B126="","",IF(L126="Hidden","Hidden",IF(AND(J126&lt;&gt;"",J126&gt;TODAY()),"Scheduled",IF(AND(K126&lt;&gt;"",K126&lt;TODAY()),"Expired","Showing"))))</f>
        <v/>
      </c>
    </row>
    <row r="127" customFormat="false" ht="15" hidden="false" customHeight="false" outlineLevel="0" collapsed="false">
      <c r="A127" s="5"/>
      <c r="B127" s="5"/>
      <c r="C127" s="5"/>
      <c r="D127" s="5"/>
      <c r="E127" s="5"/>
      <c r="F127" s="5"/>
      <c r="G127" s="5"/>
      <c r="H127" s="5"/>
      <c r="I127" s="5"/>
      <c r="J127" s="7"/>
      <c r="K127" s="7"/>
      <c r="L127" s="5"/>
      <c r="M127" s="8" t="str">
        <f aca="true">IF(B127="","",IF(L127="Hidden","Hidden",IF(AND(J127&lt;&gt;"",J127&gt;TODAY()),"Scheduled",IF(AND(K127&lt;&gt;"",K127&lt;TODAY()),"Expired","Showing"))))</f>
        <v/>
      </c>
    </row>
    <row r="128" customFormat="false" ht="15" hidden="false" customHeight="false" outlineLevel="0" collapsed="false">
      <c r="A128" s="5"/>
      <c r="B128" s="5"/>
      <c r="C128" s="5"/>
      <c r="D128" s="5"/>
      <c r="E128" s="5"/>
      <c r="F128" s="5"/>
      <c r="G128" s="5"/>
      <c r="H128" s="5"/>
      <c r="I128" s="5"/>
      <c r="J128" s="7"/>
      <c r="K128" s="7"/>
      <c r="L128" s="5"/>
      <c r="M128" s="8" t="str">
        <f aca="true">IF(B128="","",IF(L128="Hidden","Hidden",IF(AND(J128&lt;&gt;"",J128&gt;TODAY()),"Scheduled",IF(AND(K128&lt;&gt;"",K128&lt;TODAY()),"Expired","Showing"))))</f>
        <v/>
      </c>
    </row>
    <row r="129" customFormat="false" ht="15" hidden="false" customHeight="false" outlineLevel="0" collapsed="false">
      <c r="A129" s="5"/>
      <c r="B129" s="5"/>
      <c r="C129" s="5"/>
      <c r="D129" s="5"/>
      <c r="E129" s="5"/>
      <c r="F129" s="5"/>
      <c r="G129" s="5"/>
      <c r="H129" s="5"/>
      <c r="I129" s="5"/>
      <c r="J129" s="7"/>
      <c r="K129" s="7"/>
      <c r="L129" s="5"/>
      <c r="M129" s="8" t="str">
        <f aca="true">IF(B129="","",IF(L129="Hidden","Hidden",IF(AND(J129&lt;&gt;"",J129&gt;TODAY()),"Scheduled",IF(AND(K129&lt;&gt;"",K129&lt;TODAY()),"Expired","Showing"))))</f>
        <v/>
      </c>
    </row>
    <row r="130" customFormat="false" ht="15" hidden="false" customHeight="false" outlineLevel="0" collapsed="false">
      <c r="A130" s="5"/>
      <c r="B130" s="5"/>
      <c r="C130" s="5"/>
      <c r="D130" s="5"/>
      <c r="E130" s="5"/>
      <c r="F130" s="5"/>
      <c r="G130" s="5"/>
      <c r="H130" s="5"/>
      <c r="I130" s="5"/>
      <c r="J130" s="7"/>
      <c r="K130" s="7"/>
      <c r="L130" s="5"/>
      <c r="M130" s="8" t="str">
        <f aca="true">IF(B130="","",IF(L130="Hidden","Hidden",IF(AND(J130&lt;&gt;"",J130&gt;TODAY()),"Scheduled",IF(AND(K130&lt;&gt;"",K130&lt;TODAY()),"Expired","Showing"))))</f>
        <v/>
      </c>
    </row>
    <row r="131" customFormat="false" ht="15" hidden="false" customHeight="false" outlineLevel="0" collapsed="false">
      <c r="A131" s="5"/>
      <c r="B131" s="5"/>
      <c r="C131" s="5"/>
      <c r="D131" s="5"/>
      <c r="E131" s="5"/>
      <c r="F131" s="5"/>
      <c r="G131" s="5"/>
      <c r="H131" s="5"/>
      <c r="I131" s="5"/>
      <c r="J131" s="7"/>
      <c r="K131" s="7"/>
      <c r="L131" s="5"/>
      <c r="M131" s="8" t="str">
        <f aca="true">IF(B131="","",IF(L131="Hidden","Hidden",IF(AND(J131&lt;&gt;"",J131&gt;TODAY()),"Scheduled",IF(AND(K131&lt;&gt;"",K131&lt;TODAY()),"Expired","Showing"))))</f>
        <v/>
      </c>
    </row>
    <row r="132" customFormat="false" ht="15" hidden="false" customHeight="false" outlineLevel="0" collapsed="false">
      <c r="A132" s="5"/>
      <c r="B132" s="5"/>
      <c r="C132" s="5"/>
      <c r="D132" s="5"/>
      <c r="E132" s="5"/>
      <c r="F132" s="5"/>
      <c r="G132" s="5"/>
      <c r="H132" s="5"/>
      <c r="I132" s="5"/>
      <c r="J132" s="7"/>
      <c r="K132" s="7"/>
      <c r="L132" s="5"/>
      <c r="M132" s="8" t="str">
        <f aca="true">IF(B132="","",IF(L132="Hidden","Hidden",IF(AND(J132&lt;&gt;"",J132&gt;TODAY()),"Scheduled",IF(AND(K132&lt;&gt;"",K132&lt;TODAY()),"Expired","Showing"))))</f>
        <v/>
      </c>
    </row>
    <row r="133" customFormat="false" ht="15" hidden="false" customHeight="false" outlineLevel="0" collapsed="false">
      <c r="A133" s="5"/>
      <c r="B133" s="5"/>
      <c r="C133" s="5"/>
      <c r="D133" s="5"/>
      <c r="E133" s="5"/>
      <c r="F133" s="5"/>
      <c r="G133" s="5"/>
      <c r="H133" s="5"/>
      <c r="I133" s="5"/>
      <c r="J133" s="7"/>
      <c r="K133" s="7"/>
      <c r="L133" s="5"/>
      <c r="M133" s="8" t="str">
        <f aca="true">IF(B133="","",IF(L133="Hidden","Hidden",IF(AND(J133&lt;&gt;"",J133&gt;TODAY()),"Scheduled",IF(AND(K133&lt;&gt;"",K133&lt;TODAY()),"Expired","Showing"))))</f>
        <v/>
      </c>
    </row>
    <row r="134" customFormat="false" ht="15" hidden="false" customHeight="false" outlineLevel="0" collapsed="false">
      <c r="A134" s="5"/>
      <c r="B134" s="5"/>
      <c r="C134" s="5"/>
      <c r="D134" s="5"/>
      <c r="E134" s="5"/>
      <c r="F134" s="5"/>
      <c r="G134" s="5"/>
      <c r="H134" s="5"/>
      <c r="I134" s="5"/>
      <c r="J134" s="7"/>
      <c r="K134" s="7"/>
      <c r="L134" s="5"/>
      <c r="M134" s="8" t="str">
        <f aca="true">IF(B134="","",IF(L134="Hidden","Hidden",IF(AND(J134&lt;&gt;"",J134&gt;TODAY()),"Scheduled",IF(AND(K134&lt;&gt;"",K134&lt;TODAY()),"Expired","Showing"))))</f>
        <v/>
      </c>
    </row>
    <row r="135" customFormat="false" ht="15" hidden="false" customHeight="false" outlineLevel="0" collapsed="false">
      <c r="A135" s="5"/>
      <c r="B135" s="5"/>
      <c r="C135" s="5"/>
      <c r="D135" s="5"/>
      <c r="E135" s="5"/>
      <c r="F135" s="5"/>
      <c r="G135" s="5"/>
      <c r="H135" s="5"/>
      <c r="I135" s="5"/>
      <c r="J135" s="7"/>
      <c r="K135" s="7"/>
      <c r="L135" s="5"/>
      <c r="M135" s="8" t="str">
        <f aca="true">IF(B135="","",IF(L135="Hidden","Hidden",IF(AND(J135&lt;&gt;"",J135&gt;TODAY()),"Scheduled",IF(AND(K135&lt;&gt;"",K135&lt;TODAY()),"Expired","Showing"))))</f>
        <v/>
      </c>
    </row>
    <row r="136" customFormat="false" ht="15" hidden="false" customHeight="false" outlineLevel="0" collapsed="false">
      <c r="A136" s="5"/>
      <c r="B136" s="5"/>
      <c r="C136" s="5"/>
      <c r="D136" s="5"/>
      <c r="E136" s="5"/>
      <c r="F136" s="5"/>
      <c r="G136" s="5"/>
      <c r="H136" s="5"/>
      <c r="I136" s="5"/>
      <c r="J136" s="7"/>
      <c r="K136" s="7"/>
      <c r="L136" s="5"/>
      <c r="M136" s="8" t="str">
        <f aca="true">IF(B136="","",IF(L136="Hidden","Hidden",IF(AND(J136&lt;&gt;"",J136&gt;TODAY()),"Scheduled",IF(AND(K136&lt;&gt;"",K136&lt;TODAY()),"Expired","Showing"))))</f>
        <v/>
      </c>
    </row>
    <row r="137" customFormat="false" ht="15" hidden="false" customHeight="false" outlineLevel="0" collapsed="false">
      <c r="A137" s="5"/>
      <c r="B137" s="5"/>
      <c r="C137" s="5"/>
      <c r="D137" s="5"/>
      <c r="E137" s="5"/>
      <c r="F137" s="5"/>
      <c r="G137" s="5"/>
      <c r="H137" s="5"/>
      <c r="I137" s="5"/>
      <c r="J137" s="7"/>
      <c r="K137" s="7"/>
      <c r="L137" s="5"/>
      <c r="M137" s="8" t="str">
        <f aca="true">IF(B137="","",IF(L137="Hidden","Hidden",IF(AND(J137&lt;&gt;"",J137&gt;TODAY()),"Scheduled",IF(AND(K137&lt;&gt;"",K137&lt;TODAY()),"Expired","Showing"))))</f>
        <v/>
      </c>
    </row>
    <row r="138" customFormat="false" ht="15" hidden="false" customHeight="false" outlineLevel="0" collapsed="false">
      <c r="A138" s="5"/>
      <c r="B138" s="5"/>
      <c r="C138" s="5"/>
      <c r="D138" s="5"/>
      <c r="E138" s="5"/>
      <c r="F138" s="5"/>
      <c r="G138" s="5"/>
      <c r="H138" s="5"/>
      <c r="I138" s="5"/>
      <c r="J138" s="7"/>
      <c r="K138" s="7"/>
      <c r="L138" s="5"/>
      <c r="M138" s="8" t="str">
        <f aca="true">IF(B138="","",IF(L138="Hidden","Hidden",IF(AND(J138&lt;&gt;"",J138&gt;TODAY()),"Scheduled",IF(AND(K138&lt;&gt;"",K138&lt;TODAY()),"Expired","Showing"))))</f>
        <v/>
      </c>
    </row>
    <row r="139" customFormat="false" ht="15" hidden="false" customHeight="false" outlineLevel="0" collapsed="false">
      <c r="A139" s="5"/>
      <c r="B139" s="5"/>
      <c r="C139" s="5"/>
      <c r="D139" s="5"/>
      <c r="E139" s="5"/>
      <c r="F139" s="5"/>
      <c r="G139" s="5"/>
      <c r="H139" s="5"/>
      <c r="I139" s="5"/>
      <c r="J139" s="7"/>
      <c r="K139" s="7"/>
      <c r="L139" s="5"/>
      <c r="M139" s="8" t="str">
        <f aca="true">IF(B139="","",IF(L139="Hidden","Hidden",IF(AND(J139&lt;&gt;"",J139&gt;TODAY()),"Scheduled",IF(AND(K139&lt;&gt;"",K139&lt;TODAY()),"Expired","Showing"))))</f>
        <v/>
      </c>
    </row>
    <row r="140" customFormat="false" ht="15" hidden="false" customHeight="false" outlineLevel="0" collapsed="false">
      <c r="A140" s="5"/>
      <c r="B140" s="5"/>
      <c r="C140" s="5"/>
      <c r="D140" s="5"/>
      <c r="E140" s="5"/>
      <c r="F140" s="5"/>
      <c r="G140" s="5"/>
      <c r="H140" s="5"/>
      <c r="I140" s="5"/>
      <c r="J140" s="7"/>
      <c r="K140" s="7"/>
      <c r="L140" s="5"/>
      <c r="M140" s="8" t="str">
        <f aca="true">IF(B140="","",IF(L140="Hidden","Hidden",IF(AND(J140&lt;&gt;"",J140&gt;TODAY()),"Scheduled",IF(AND(K140&lt;&gt;"",K140&lt;TODAY()),"Expired","Showing"))))</f>
        <v/>
      </c>
    </row>
    <row r="141" customFormat="false" ht="15" hidden="false" customHeight="false" outlineLevel="0" collapsed="false">
      <c r="A141" s="5"/>
      <c r="B141" s="5"/>
      <c r="C141" s="5"/>
      <c r="D141" s="5"/>
      <c r="E141" s="5"/>
      <c r="F141" s="5"/>
      <c r="G141" s="5"/>
      <c r="H141" s="5"/>
      <c r="I141" s="5"/>
      <c r="J141" s="7"/>
      <c r="K141" s="7"/>
      <c r="L141" s="5"/>
      <c r="M141" s="8" t="str">
        <f aca="true">IF(B141="","",IF(L141="Hidden","Hidden",IF(AND(J141&lt;&gt;"",J141&gt;TODAY()),"Scheduled",IF(AND(K141&lt;&gt;"",K141&lt;TODAY()),"Expired","Showing"))))</f>
        <v/>
      </c>
    </row>
    <row r="142" customFormat="false" ht="15" hidden="false" customHeight="false" outlineLevel="0" collapsed="false">
      <c r="A142" s="5"/>
      <c r="B142" s="5"/>
      <c r="C142" s="5"/>
      <c r="D142" s="5"/>
      <c r="E142" s="5"/>
      <c r="F142" s="5"/>
      <c r="G142" s="5"/>
      <c r="H142" s="5"/>
      <c r="I142" s="5"/>
      <c r="J142" s="7"/>
      <c r="K142" s="7"/>
      <c r="L142" s="5"/>
      <c r="M142" s="8" t="str">
        <f aca="true">IF(B142="","",IF(L142="Hidden","Hidden",IF(AND(J142&lt;&gt;"",J142&gt;TODAY()),"Scheduled",IF(AND(K142&lt;&gt;"",K142&lt;TODAY()),"Expired","Showing"))))</f>
        <v/>
      </c>
    </row>
    <row r="143" customFormat="false" ht="15" hidden="false" customHeight="false" outlineLevel="0" collapsed="false">
      <c r="A143" s="5"/>
      <c r="B143" s="5"/>
      <c r="C143" s="5"/>
      <c r="D143" s="5"/>
      <c r="E143" s="5"/>
      <c r="F143" s="5"/>
      <c r="G143" s="5"/>
      <c r="H143" s="5"/>
      <c r="I143" s="5"/>
      <c r="J143" s="7"/>
      <c r="K143" s="7"/>
      <c r="L143" s="5"/>
      <c r="M143" s="8" t="str">
        <f aca="true">IF(B143="","",IF(L143="Hidden","Hidden",IF(AND(J143&lt;&gt;"",J143&gt;TODAY()),"Scheduled",IF(AND(K143&lt;&gt;"",K143&lt;TODAY()),"Expired","Showing"))))</f>
        <v/>
      </c>
    </row>
    <row r="144" customFormat="false" ht="15" hidden="false" customHeight="false" outlineLevel="0" collapsed="false">
      <c r="A144" s="5"/>
      <c r="B144" s="5"/>
      <c r="C144" s="5"/>
      <c r="D144" s="5"/>
      <c r="E144" s="5"/>
      <c r="F144" s="5"/>
      <c r="G144" s="5"/>
      <c r="H144" s="5"/>
      <c r="I144" s="5"/>
      <c r="J144" s="7"/>
      <c r="K144" s="7"/>
      <c r="L144" s="5"/>
      <c r="M144" s="8" t="str">
        <f aca="true">IF(B144="","",IF(L144="Hidden","Hidden",IF(AND(J144&lt;&gt;"",J144&gt;TODAY()),"Scheduled",IF(AND(K144&lt;&gt;"",K144&lt;TODAY()),"Expired","Showing"))))</f>
        <v/>
      </c>
    </row>
    <row r="145" customFormat="false" ht="15" hidden="false" customHeight="false" outlineLevel="0" collapsed="false">
      <c r="A145" s="5"/>
      <c r="B145" s="5"/>
      <c r="C145" s="5"/>
      <c r="D145" s="5"/>
      <c r="E145" s="5"/>
      <c r="F145" s="5"/>
      <c r="G145" s="5"/>
      <c r="H145" s="5"/>
      <c r="I145" s="5"/>
      <c r="J145" s="7"/>
      <c r="K145" s="7"/>
      <c r="L145" s="5"/>
      <c r="M145" s="8" t="str">
        <f aca="true">IF(B145="","",IF(L145="Hidden","Hidden",IF(AND(J145&lt;&gt;"",J145&gt;TODAY()),"Scheduled",IF(AND(K145&lt;&gt;"",K145&lt;TODAY()),"Expired","Showing"))))</f>
        <v/>
      </c>
    </row>
    <row r="146" customFormat="false" ht="15" hidden="false" customHeight="false" outlineLevel="0" collapsed="false">
      <c r="A146" s="5"/>
      <c r="B146" s="5"/>
      <c r="C146" s="5"/>
      <c r="D146" s="5"/>
      <c r="E146" s="5"/>
      <c r="F146" s="5"/>
      <c r="G146" s="5"/>
      <c r="H146" s="5"/>
      <c r="I146" s="5"/>
      <c r="J146" s="7"/>
      <c r="K146" s="7"/>
      <c r="L146" s="5"/>
      <c r="M146" s="8" t="str">
        <f aca="true">IF(B146="","",IF(L146="Hidden","Hidden",IF(AND(J146&lt;&gt;"",J146&gt;TODAY()),"Scheduled",IF(AND(K146&lt;&gt;"",K146&lt;TODAY()),"Expired","Showing"))))</f>
        <v/>
      </c>
    </row>
    <row r="147" customFormat="false" ht="15" hidden="false" customHeight="false" outlineLevel="0" collapsed="false">
      <c r="A147" s="5"/>
      <c r="B147" s="5"/>
      <c r="C147" s="5"/>
      <c r="D147" s="5"/>
      <c r="E147" s="5"/>
      <c r="F147" s="5"/>
      <c r="G147" s="5"/>
      <c r="H147" s="5"/>
      <c r="I147" s="5"/>
      <c r="J147" s="7"/>
      <c r="K147" s="7"/>
      <c r="L147" s="5"/>
      <c r="M147" s="8" t="str">
        <f aca="true">IF(B147="","",IF(L147="Hidden","Hidden",IF(AND(J147&lt;&gt;"",J147&gt;TODAY()),"Scheduled",IF(AND(K147&lt;&gt;"",K147&lt;TODAY()),"Expired","Showing"))))</f>
        <v/>
      </c>
    </row>
    <row r="148" customFormat="false" ht="15" hidden="false" customHeight="false" outlineLevel="0" collapsed="false">
      <c r="A148" s="5"/>
      <c r="B148" s="5"/>
      <c r="C148" s="5"/>
      <c r="D148" s="5"/>
      <c r="E148" s="5"/>
      <c r="F148" s="5"/>
      <c r="G148" s="5"/>
      <c r="H148" s="5"/>
      <c r="I148" s="5"/>
      <c r="J148" s="7"/>
      <c r="K148" s="7"/>
      <c r="L148" s="5"/>
      <c r="M148" s="8" t="str">
        <f aca="true">IF(B148="","",IF(L148="Hidden","Hidden",IF(AND(J148&lt;&gt;"",J148&gt;TODAY()),"Scheduled",IF(AND(K148&lt;&gt;"",K148&lt;TODAY()),"Expired","Showing"))))</f>
        <v/>
      </c>
    </row>
    <row r="149" customFormat="false" ht="15" hidden="false" customHeight="false" outlineLevel="0" collapsed="false">
      <c r="A149" s="5"/>
      <c r="B149" s="5"/>
      <c r="C149" s="5"/>
      <c r="D149" s="5"/>
      <c r="E149" s="5"/>
      <c r="F149" s="5"/>
      <c r="G149" s="5"/>
      <c r="H149" s="5"/>
      <c r="I149" s="5"/>
      <c r="J149" s="7"/>
      <c r="K149" s="7"/>
      <c r="L149" s="5"/>
      <c r="M149" s="8" t="str">
        <f aca="true">IF(B149="","",IF(L149="Hidden","Hidden",IF(AND(J149&lt;&gt;"",J149&gt;TODAY()),"Scheduled",IF(AND(K149&lt;&gt;"",K149&lt;TODAY()),"Expired","Showing"))))</f>
        <v/>
      </c>
    </row>
    <row r="150" customFormat="false" ht="15" hidden="false" customHeight="false" outlineLevel="0" collapsed="false">
      <c r="A150" s="5"/>
      <c r="B150" s="5"/>
      <c r="C150" s="5"/>
      <c r="D150" s="5"/>
      <c r="E150" s="5"/>
      <c r="F150" s="5"/>
      <c r="G150" s="5"/>
      <c r="H150" s="5"/>
      <c r="I150" s="5"/>
      <c r="J150" s="7"/>
      <c r="K150" s="7"/>
      <c r="L150" s="5"/>
      <c r="M150" s="8" t="str">
        <f aca="true">IF(B150="","",IF(L150="Hidden","Hidden",IF(AND(J150&lt;&gt;"",J150&gt;TODAY()),"Scheduled",IF(AND(K150&lt;&gt;"",K150&lt;TODAY()),"Expired","Showing"))))</f>
        <v/>
      </c>
    </row>
    <row r="151" customFormat="false" ht="15" hidden="false" customHeight="false" outlineLevel="0" collapsed="false">
      <c r="A151" s="5"/>
      <c r="B151" s="5"/>
      <c r="C151" s="5"/>
      <c r="D151" s="5"/>
      <c r="E151" s="5"/>
      <c r="F151" s="5"/>
      <c r="G151" s="5"/>
      <c r="H151" s="5"/>
      <c r="I151" s="5"/>
      <c r="J151" s="7"/>
      <c r="K151" s="7"/>
      <c r="L151" s="5"/>
      <c r="M151" s="8" t="str">
        <f aca="true">IF(B151="","",IF(L151="Hidden","Hidden",IF(AND(J151&lt;&gt;"",J151&gt;TODAY()),"Scheduled",IF(AND(K151&lt;&gt;"",K151&lt;TODAY()),"Expired","Showing"))))</f>
        <v/>
      </c>
    </row>
    <row r="152" customFormat="false" ht="15" hidden="false" customHeight="false" outlineLevel="0" collapsed="false">
      <c r="A152" s="5"/>
      <c r="B152" s="5"/>
      <c r="C152" s="5"/>
      <c r="D152" s="5"/>
      <c r="E152" s="5"/>
      <c r="F152" s="5"/>
      <c r="G152" s="5"/>
      <c r="H152" s="5"/>
      <c r="I152" s="5"/>
      <c r="J152" s="7"/>
      <c r="K152" s="7"/>
      <c r="L152" s="5"/>
      <c r="M152" s="8" t="str">
        <f aca="true">IF(B152="","",IF(L152="Hidden","Hidden",IF(AND(J152&lt;&gt;"",J152&gt;TODAY()),"Scheduled",IF(AND(K152&lt;&gt;"",K152&lt;TODAY()),"Expired","Showing"))))</f>
        <v/>
      </c>
    </row>
    <row r="153" customFormat="false" ht="15" hidden="false" customHeight="false" outlineLevel="0" collapsed="false">
      <c r="A153" s="5"/>
      <c r="B153" s="5"/>
      <c r="C153" s="5"/>
      <c r="D153" s="5"/>
      <c r="E153" s="5"/>
      <c r="F153" s="5"/>
      <c r="G153" s="5"/>
      <c r="H153" s="5"/>
      <c r="I153" s="5"/>
      <c r="J153" s="7"/>
      <c r="K153" s="7"/>
      <c r="L153" s="5"/>
      <c r="M153" s="8" t="str">
        <f aca="true">IF(B153="","",IF(L153="Hidden","Hidden",IF(AND(J153&lt;&gt;"",J153&gt;TODAY()),"Scheduled",IF(AND(K153&lt;&gt;"",K153&lt;TODAY()),"Expired","Showing"))))</f>
        <v/>
      </c>
    </row>
    <row r="154" customFormat="false" ht="15" hidden="false" customHeight="false" outlineLevel="0" collapsed="false">
      <c r="A154" s="5"/>
      <c r="B154" s="5"/>
      <c r="C154" s="5"/>
      <c r="D154" s="5"/>
      <c r="E154" s="5"/>
      <c r="F154" s="5"/>
      <c r="G154" s="5"/>
      <c r="H154" s="5"/>
      <c r="I154" s="5"/>
      <c r="J154" s="7"/>
      <c r="K154" s="7"/>
      <c r="L154" s="5"/>
      <c r="M154" s="8" t="str">
        <f aca="true">IF(B154="","",IF(L154="Hidden","Hidden",IF(AND(J154&lt;&gt;"",J154&gt;TODAY()),"Scheduled",IF(AND(K154&lt;&gt;"",K154&lt;TODAY()),"Expired","Showing"))))</f>
        <v/>
      </c>
    </row>
    <row r="155" customFormat="false" ht="15" hidden="false" customHeight="false" outlineLevel="0" collapsed="false">
      <c r="A155" s="5"/>
      <c r="B155" s="5"/>
      <c r="C155" s="5"/>
      <c r="D155" s="5"/>
      <c r="E155" s="5"/>
      <c r="F155" s="5"/>
      <c r="G155" s="5"/>
      <c r="H155" s="5"/>
      <c r="I155" s="5"/>
      <c r="J155" s="7"/>
      <c r="K155" s="7"/>
      <c r="L155" s="5"/>
      <c r="M155" s="8" t="str">
        <f aca="true">IF(B155="","",IF(L155="Hidden","Hidden",IF(AND(J155&lt;&gt;"",J155&gt;TODAY()),"Scheduled",IF(AND(K155&lt;&gt;"",K155&lt;TODAY()),"Expired","Showing"))))</f>
        <v/>
      </c>
    </row>
    <row r="156" customFormat="false" ht="15" hidden="false" customHeight="false" outlineLevel="0" collapsed="false">
      <c r="A156" s="5"/>
      <c r="B156" s="5"/>
      <c r="C156" s="5"/>
      <c r="D156" s="5"/>
      <c r="E156" s="5"/>
      <c r="F156" s="5"/>
      <c r="G156" s="5"/>
      <c r="H156" s="5"/>
      <c r="I156" s="5"/>
      <c r="J156" s="7"/>
      <c r="K156" s="7"/>
      <c r="L156" s="5"/>
      <c r="M156" s="8" t="str">
        <f aca="true">IF(B156="","",IF(L156="Hidden","Hidden",IF(AND(J156&lt;&gt;"",J156&gt;TODAY()),"Scheduled",IF(AND(K156&lt;&gt;"",K156&lt;TODAY()),"Expired","Showing"))))</f>
        <v/>
      </c>
    </row>
    <row r="157" customFormat="false" ht="15" hidden="false" customHeight="false" outlineLevel="0" collapsed="false">
      <c r="A157" s="5"/>
      <c r="B157" s="5"/>
      <c r="C157" s="5"/>
      <c r="D157" s="5"/>
      <c r="E157" s="5"/>
      <c r="F157" s="5"/>
      <c r="G157" s="5"/>
      <c r="H157" s="5"/>
      <c r="I157" s="5"/>
      <c r="J157" s="7"/>
      <c r="K157" s="7"/>
      <c r="L157" s="5"/>
      <c r="M157" s="8" t="str">
        <f aca="true">IF(B157="","",IF(L157="Hidden","Hidden",IF(AND(J157&lt;&gt;"",J157&gt;TODAY()),"Scheduled",IF(AND(K157&lt;&gt;"",K157&lt;TODAY()),"Expired","Showing"))))</f>
        <v/>
      </c>
    </row>
    <row r="158" customFormat="false" ht="15" hidden="false" customHeight="false" outlineLevel="0" collapsed="false">
      <c r="A158" s="5"/>
      <c r="B158" s="5"/>
      <c r="C158" s="5"/>
      <c r="D158" s="5"/>
      <c r="E158" s="5"/>
      <c r="F158" s="5"/>
      <c r="G158" s="5"/>
      <c r="H158" s="5"/>
      <c r="I158" s="5"/>
      <c r="J158" s="7"/>
      <c r="K158" s="7"/>
      <c r="L158" s="5"/>
      <c r="M158" s="8" t="str">
        <f aca="true">IF(B158="","",IF(L158="Hidden","Hidden",IF(AND(J158&lt;&gt;"",J158&gt;TODAY()),"Scheduled",IF(AND(K158&lt;&gt;"",K158&lt;TODAY()),"Expired","Showing"))))</f>
        <v/>
      </c>
    </row>
    <row r="159" customFormat="false" ht="15" hidden="false" customHeight="false" outlineLevel="0" collapsed="false">
      <c r="A159" s="5"/>
      <c r="B159" s="5"/>
      <c r="C159" s="5"/>
      <c r="D159" s="5"/>
      <c r="E159" s="5"/>
      <c r="F159" s="5"/>
      <c r="G159" s="5"/>
      <c r="H159" s="5"/>
      <c r="I159" s="5"/>
      <c r="J159" s="7"/>
      <c r="K159" s="7"/>
      <c r="L159" s="5"/>
      <c r="M159" s="8" t="str">
        <f aca="true">IF(B159="","",IF(L159="Hidden","Hidden",IF(AND(J159&lt;&gt;"",J159&gt;TODAY()),"Scheduled",IF(AND(K159&lt;&gt;"",K159&lt;TODAY()),"Expired","Showing"))))</f>
        <v/>
      </c>
    </row>
    <row r="160" customFormat="false" ht="15" hidden="false" customHeight="false" outlineLevel="0" collapsed="false">
      <c r="A160" s="5"/>
      <c r="B160" s="5"/>
      <c r="C160" s="5"/>
      <c r="D160" s="5"/>
      <c r="E160" s="5"/>
      <c r="F160" s="5"/>
      <c r="G160" s="5"/>
      <c r="H160" s="5"/>
      <c r="I160" s="5"/>
      <c r="J160" s="7"/>
      <c r="K160" s="7"/>
      <c r="L160" s="5"/>
      <c r="M160" s="8" t="str">
        <f aca="true">IF(B160="","",IF(L160="Hidden","Hidden",IF(AND(J160&lt;&gt;"",J160&gt;TODAY()),"Scheduled",IF(AND(K160&lt;&gt;"",K160&lt;TODAY()),"Expired","Showing"))))</f>
        <v/>
      </c>
    </row>
    <row r="161" customFormat="false" ht="15" hidden="false" customHeight="false" outlineLevel="0" collapsed="false">
      <c r="A161" s="5"/>
      <c r="B161" s="5"/>
      <c r="C161" s="5"/>
      <c r="D161" s="5"/>
      <c r="E161" s="5"/>
      <c r="F161" s="5"/>
      <c r="G161" s="5"/>
      <c r="H161" s="5"/>
      <c r="I161" s="5"/>
      <c r="J161" s="7"/>
      <c r="K161" s="7"/>
      <c r="L161" s="5"/>
      <c r="M161" s="8" t="str">
        <f aca="true">IF(B161="","",IF(L161="Hidden","Hidden",IF(AND(J161&lt;&gt;"",J161&gt;TODAY()),"Scheduled",IF(AND(K161&lt;&gt;"",K161&lt;TODAY()),"Expired","Showing"))))</f>
        <v/>
      </c>
    </row>
    <row r="162" customFormat="false" ht="15" hidden="false" customHeight="false" outlineLevel="0" collapsed="false">
      <c r="A162" s="5"/>
      <c r="B162" s="5"/>
      <c r="C162" s="5"/>
      <c r="D162" s="5"/>
      <c r="E162" s="5"/>
      <c r="F162" s="5"/>
      <c r="G162" s="5"/>
      <c r="H162" s="5"/>
      <c r="I162" s="5"/>
      <c r="J162" s="7"/>
      <c r="K162" s="7"/>
      <c r="L162" s="5"/>
      <c r="M162" s="8" t="str">
        <f aca="true">IF(B162="","",IF(L162="Hidden","Hidden",IF(AND(J162&lt;&gt;"",J162&gt;TODAY()),"Scheduled",IF(AND(K162&lt;&gt;"",K162&lt;TODAY()),"Expired","Showing"))))</f>
        <v/>
      </c>
    </row>
    <row r="163" customFormat="false" ht="15" hidden="false" customHeight="false" outlineLevel="0" collapsed="false">
      <c r="A163" s="5"/>
      <c r="B163" s="5"/>
      <c r="C163" s="5"/>
      <c r="D163" s="5"/>
      <c r="E163" s="5"/>
      <c r="F163" s="5"/>
      <c r="G163" s="5"/>
      <c r="H163" s="5"/>
      <c r="I163" s="5"/>
      <c r="J163" s="7"/>
      <c r="K163" s="7"/>
      <c r="L163" s="5"/>
      <c r="M163" s="8" t="str">
        <f aca="true">IF(B163="","",IF(L163="Hidden","Hidden",IF(AND(J163&lt;&gt;"",J163&gt;TODAY()),"Scheduled",IF(AND(K163&lt;&gt;"",K163&lt;TODAY()),"Expired","Showing"))))</f>
        <v/>
      </c>
    </row>
    <row r="164" customFormat="false" ht="15" hidden="false" customHeight="false" outlineLevel="0" collapsed="false">
      <c r="A164" s="5"/>
      <c r="B164" s="5"/>
      <c r="C164" s="5"/>
      <c r="D164" s="5"/>
      <c r="E164" s="5"/>
      <c r="F164" s="5"/>
      <c r="G164" s="5"/>
      <c r="H164" s="5"/>
      <c r="I164" s="5"/>
      <c r="J164" s="7"/>
      <c r="K164" s="7"/>
      <c r="L164" s="5"/>
      <c r="M164" s="8" t="str">
        <f aca="true">IF(B164="","",IF(L164="Hidden","Hidden",IF(AND(J164&lt;&gt;"",J164&gt;TODAY()),"Scheduled",IF(AND(K164&lt;&gt;"",K164&lt;TODAY()),"Expired","Showing"))))</f>
        <v/>
      </c>
    </row>
    <row r="165" customFormat="false" ht="15" hidden="false" customHeight="false" outlineLevel="0" collapsed="false">
      <c r="A165" s="5"/>
      <c r="B165" s="5"/>
      <c r="C165" s="5"/>
      <c r="D165" s="5"/>
      <c r="E165" s="5"/>
      <c r="F165" s="5"/>
      <c r="G165" s="5"/>
      <c r="H165" s="5"/>
      <c r="I165" s="5"/>
      <c r="J165" s="7"/>
      <c r="K165" s="7"/>
      <c r="L165" s="5"/>
      <c r="M165" s="8" t="str">
        <f aca="true">IF(B165="","",IF(L165="Hidden","Hidden",IF(AND(J165&lt;&gt;"",J165&gt;TODAY()),"Scheduled",IF(AND(K165&lt;&gt;"",K165&lt;TODAY()),"Expired","Showing"))))</f>
        <v/>
      </c>
    </row>
    <row r="166" customFormat="false" ht="15" hidden="false" customHeight="false" outlineLevel="0" collapsed="false">
      <c r="A166" s="5"/>
      <c r="B166" s="5"/>
      <c r="C166" s="5"/>
      <c r="D166" s="5"/>
      <c r="E166" s="5"/>
      <c r="F166" s="5"/>
      <c r="G166" s="5"/>
      <c r="H166" s="5"/>
      <c r="I166" s="5"/>
      <c r="J166" s="7"/>
      <c r="K166" s="7"/>
      <c r="L166" s="5"/>
      <c r="M166" s="8" t="str">
        <f aca="true">IF(B166="","",IF(L166="Hidden","Hidden",IF(AND(J166&lt;&gt;"",J166&gt;TODAY()),"Scheduled",IF(AND(K166&lt;&gt;"",K166&lt;TODAY()),"Expired","Showing"))))</f>
        <v/>
      </c>
    </row>
    <row r="167" customFormat="false" ht="15" hidden="false" customHeight="false" outlineLevel="0" collapsed="false">
      <c r="A167" s="5"/>
      <c r="B167" s="5"/>
      <c r="C167" s="5"/>
      <c r="D167" s="5"/>
      <c r="E167" s="5"/>
      <c r="F167" s="5"/>
      <c r="G167" s="5"/>
      <c r="H167" s="5"/>
      <c r="I167" s="5"/>
      <c r="J167" s="7"/>
      <c r="K167" s="7"/>
      <c r="L167" s="5"/>
      <c r="M167" s="8" t="str">
        <f aca="true">IF(B167="","",IF(L167="Hidden","Hidden",IF(AND(J167&lt;&gt;"",J167&gt;TODAY()),"Scheduled",IF(AND(K167&lt;&gt;"",K167&lt;TODAY()),"Expired","Showing"))))</f>
        <v/>
      </c>
    </row>
    <row r="168" customFormat="false" ht="15" hidden="false" customHeight="false" outlineLevel="0" collapsed="false">
      <c r="A168" s="5"/>
      <c r="B168" s="5"/>
      <c r="C168" s="5"/>
      <c r="D168" s="5"/>
      <c r="E168" s="5"/>
      <c r="F168" s="5"/>
      <c r="G168" s="5"/>
      <c r="H168" s="5"/>
      <c r="I168" s="5"/>
      <c r="J168" s="7"/>
      <c r="K168" s="7"/>
      <c r="L168" s="5"/>
      <c r="M168" s="8" t="str">
        <f aca="true">IF(B168="","",IF(L168="Hidden","Hidden",IF(AND(J168&lt;&gt;"",J168&gt;TODAY()),"Scheduled",IF(AND(K168&lt;&gt;"",K168&lt;TODAY()),"Expired","Showing"))))</f>
        <v/>
      </c>
    </row>
    <row r="169" customFormat="false" ht="15" hidden="false" customHeight="false" outlineLevel="0" collapsed="false">
      <c r="A169" s="5"/>
      <c r="B169" s="5"/>
      <c r="C169" s="5"/>
      <c r="D169" s="5"/>
      <c r="E169" s="5"/>
      <c r="F169" s="5"/>
      <c r="G169" s="5"/>
      <c r="H169" s="5"/>
      <c r="I169" s="5"/>
      <c r="J169" s="7"/>
      <c r="K169" s="7"/>
      <c r="L169" s="5"/>
      <c r="M169" s="8" t="str">
        <f aca="true">IF(B169="","",IF(L169="Hidden","Hidden",IF(AND(J169&lt;&gt;"",J169&gt;TODAY()),"Scheduled",IF(AND(K169&lt;&gt;"",K169&lt;TODAY()),"Expired","Showing"))))</f>
        <v/>
      </c>
    </row>
    <row r="170" customFormat="false" ht="15" hidden="false" customHeight="false" outlineLevel="0" collapsed="false">
      <c r="A170" s="5"/>
      <c r="B170" s="5"/>
      <c r="C170" s="5"/>
      <c r="D170" s="5"/>
      <c r="E170" s="5"/>
      <c r="F170" s="5"/>
      <c r="G170" s="5"/>
      <c r="H170" s="5"/>
      <c r="I170" s="5"/>
      <c r="J170" s="7"/>
      <c r="K170" s="7"/>
      <c r="L170" s="5"/>
      <c r="M170" s="8" t="str">
        <f aca="true">IF(B170="","",IF(L170="Hidden","Hidden",IF(AND(J170&lt;&gt;"",J170&gt;TODAY()),"Scheduled",IF(AND(K170&lt;&gt;"",K170&lt;TODAY()),"Expired","Showing"))))</f>
        <v/>
      </c>
    </row>
    <row r="171" customFormat="false" ht="15" hidden="false" customHeight="false" outlineLevel="0" collapsed="false">
      <c r="A171" s="5"/>
      <c r="B171" s="5"/>
      <c r="C171" s="5"/>
      <c r="D171" s="5"/>
      <c r="E171" s="5"/>
      <c r="F171" s="5"/>
      <c r="G171" s="5"/>
      <c r="H171" s="5"/>
      <c r="I171" s="5"/>
      <c r="J171" s="7"/>
      <c r="K171" s="7"/>
      <c r="L171" s="5"/>
      <c r="M171" s="8" t="str">
        <f aca="true">IF(B171="","",IF(L171="Hidden","Hidden",IF(AND(J171&lt;&gt;"",J171&gt;TODAY()),"Scheduled",IF(AND(K171&lt;&gt;"",K171&lt;TODAY()),"Expired","Showing"))))</f>
        <v/>
      </c>
    </row>
    <row r="172" customFormat="false" ht="15" hidden="false" customHeight="false" outlineLevel="0" collapsed="false">
      <c r="A172" s="5"/>
      <c r="B172" s="5"/>
      <c r="C172" s="5"/>
      <c r="D172" s="5"/>
      <c r="E172" s="5"/>
      <c r="F172" s="5"/>
      <c r="G172" s="5"/>
      <c r="H172" s="5"/>
      <c r="I172" s="5"/>
      <c r="J172" s="7"/>
      <c r="K172" s="7"/>
      <c r="L172" s="5"/>
      <c r="M172" s="8" t="str">
        <f aca="true">IF(B172="","",IF(L172="Hidden","Hidden",IF(AND(J172&lt;&gt;"",J172&gt;TODAY()),"Scheduled",IF(AND(K172&lt;&gt;"",K172&lt;TODAY()),"Expired","Showing"))))</f>
        <v/>
      </c>
    </row>
    <row r="173" customFormat="false" ht="15" hidden="false" customHeight="false" outlineLevel="0" collapsed="false">
      <c r="A173" s="5"/>
      <c r="B173" s="5"/>
      <c r="C173" s="5"/>
      <c r="D173" s="5"/>
      <c r="E173" s="5"/>
      <c r="F173" s="5"/>
      <c r="G173" s="5"/>
      <c r="H173" s="5"/>
      <c r="I173" s="5"/>
      <c r="J173" s="7"/>
      <c r="K173" s="7"/>
      <c r="L173" s="5"/>
      <c r="M173" s="8" t="str">
        <f aca="true">IF(B173="","",IF(L173="Hidden","Hidden",IF(AND(J173&lt;&gt;"",J173&gt;TODAY()),"Scheduled",IF(AND(K173&lt;&gt;"",K173&lt;TODAY()),"Expired","Showing"))))</f>
        <v/>
      </c>
    </row>
    <row r="174" customFormat="false" ht="15" hidden="false" customHeight="false" outlineLevel="0" collapsed="false">
      <c r="A174" s="5"/>
      <c r="B174" s="5"/>
      <c r="C174" s="5"/>
      <c r="D174" s="5"/>
      <c r="E174" s="5"/>
      <c r="F174" s="5"/>
      <c r="G174" s="5"/>
      <c r="H174" s="5"/>
      <c r="I174" s="5"/>
      <c r="J174" s="7"/>
      <c r="K174" s="7"/>
      <c r="L174" s="5"/>
      <c r="M174" s="8" t="str">
        <f aca="true">IF(B174="","",IF(L174="Hidden","Hidden",IF(AND(J174&lt;&gt;"",J174&gt;TODAY()),"Scheduled",IF(AND(K174&lt;&gt;"",K174&lt;TODAY()),"Expired","Showing"))))</f>
        <v/>
      </c>
    </row>
    <row r="175" customFormat="false" ht="15" hidden="false" customHeight="false" outlineLevel="0" collapsed="false">
      <c r="A175" s="5"/>
      <c r="B175" s="5"/>
      <c r="C175" s="5"/>
      <c r="D175" s="5"/>
      <c r="E175" s="5"/>
      <c r="F175" s="5"/>
      <c r="G175" s="5"/>
      <c r="H175" s="5"/>
      <c r="I175" s="5"/>
      <c r="J175" s="7"/>
      <c r="K175" s="7"/>
      <c r="L175" s="5"/>
      <c r="M175" s="8" t="str">
        <f aca="true">IF(B175="","",IF(L175="Hidden","Hidden",IF(AND(J175&lt;&gt;"",J175&gt;TODAY()),"Scheduled",IF(AND(K175&lt;&gt;"",K175&lt;TODAY()),"Expired","Showing"))))</f>
        <v/>
      </c>
    </row>
    <row r="176" customFormat="false" ht="15" hidden="false" customHeight="false" outlineLevel="0" collapsed="false">
      <c r="A176" s="5"/>
      <c r="B176" s="5"/>
      <c r="C176" s="5"/>
      <c r="D176" s="5"/>
      <c r="E176" s="5"/>
      <c r="F176" s="5"/>
      <c r="G176" s="5"/>
      <c r="H176" s="5"/>
      <c r="I176" s="5"/>
      <c r="J176" s="7"/>
      <c r="K176" s="7"/>
      <c r="L176" s="5"/>
      <c r="M176" s="8" t="str">
        <f aca="true">IF(B176="","",IF(L176="Hidden","Hidden",IF(AND(J176&lt;&gt;"",J176&gt;TODAY()),"Scheduled",IF(AND(K176&lt;&gt;"",K176&lt;TODAY()),"Expired","Showing"))))</f>
        <v/>
      </c>
    </row>
    <row r="177" customFormat="false" ht="15" hidden="false" customHeight="false" outlineLevel="0" collapsed="false">
      <c r="A177" s="5"/>
      <c r="B177" s="5"/>
      <c r="C177" s="5"/>
      <c r="D177" s="5"/>
      <c r="E177" s="5"/>
      <c r="F177" s="5"/>
      <c r="G177" s="5"/>
      <c r="H177" s="5"/>
      <c r="I177" s="5"/>
      <c r="J177" s="7"/>
      <c r="K177" s="7"/>
      <c r="L177" s="5"/>
      <c r="M177" s="8" t="str">
        <f aca="true">IF(B177="","",IF(L177="Hidden","Hidden",IF(AND(J177&lt;&gt;"",J177&gt;TODAY()),"Scheduled",IF(AND(K177&lt;&gt;"",K177&lt;TODAY()),"Expired","Showing"))))</f>
        <v/>
      </c>
    </row>
    <row r="178" customFormat="false" ht="15" hidden="false" customHeight="false" outlineLevel="0" collapsed="false">
      <c r="A178" s="5"/>
      <c r="B178" s="5"/>
      <c r="C178" s="5"/>
      <c r="D178" s="5"/>
      <c r="E178" s="5"/>
      <c r="F178" s="5"/>
      <c r="G178" s="5"/>
      <c r="H178" s="5"/>
      <c r="I178" s="5"/>
      <c r="J178" s="7"/>
      <c r="K178" s="7"/>
      <c r="L178" s="5"/>
      <c r="M178" s="8" t="str">
        <f aca="true">IF(B178="","",IF(L178="Hidden","Hidden",IF(AND(J178&lt;&gt;"",J178&gt;TODAY()),"Scheduled",IF(AND(K178&lt;&gt;"",K178&lt;TODAY()),"Expired","Showing"))))</f>
        <v/>
      </c>
    </row>
    <row r="179" customFormat="false" ht="15" hidden="false" customHeight="false" outlineLevel="0" collapsed="false">
      <c r="A179" s="5"/>
      <c r="B179" s="5"/>
      <c r="C179" s="5"/>
      <c r="D179" s="5"/>
      <c r="E179" s="5"/>
      <c r="F179" s="5"/>
      <c r="G179" s="5"/>
      <c r="H179" s="5"/>
      <c r="I179" s="5"/>
      <c r="J179" s="7"/>
      <c r="K179" s="7"/>
      <c r="L179" s="5"/>
      <c r="M179" s="8" t="str">
        <f aca="true">IF(B179="","",IF(L179="Hidden","Hidden",IF(AND(J179&lt;&gt;"",J179&gt;TODAY()),"Scheduled",IF(AND(K179&lt;&gt;"",K179&lt;TODAY()),"Expired","Showing"))))</f>
        <v/>
      </c>
    </row>
    <row r="180" customFormat="false" ht="15" hidden="false" customHeight="false" outlineLevel="0" collapsed="false">
      <c r="A180" s="5"/>
      <c r="B180" s="5"/>
      <c r="C180" s="5"/>
      <c r="D180" s="5"/>
      <c r="E180" s="5"/>
      <c r="F180" s="5"/>
      <c r="G180" s="5"/>
      <c r="H180" s="5"/>
      <c r="I180" s="5"/>
      <c r="J180" s="7"/>
      <c r="K180" s="7"/>
      <c r="L180" s="5"/>
      <c r="M180" s="8" t="str">
        <f aca="true">IF(B180="","",IF(L180="Hidden","Hidden",IF(AND(J180&lt;&gt;"",J180&gt;TODAY()),"Scheduled",IF(AND(K180&lt;&gt;"",K180&lt;TODAY()),"Expired","Showing"))))</f>
        <v/>
      </c>
    </row>
    <row r="181" customFormat="false" ht="15" hidden="false" customHeight="false" outlineLevel="0" collapsed="false">
      <c r="A181" s="5"/>
      <c r="B181" s="5"/>
      <c r="C181" s="5"/>
      <c r="D181" s="5"/>
      <c r="E181" s="5"/>
      <c r="F181" s="5"/>
      <c r="G181" s="5"/>
      <c r="H181" s="5"/>
      <c r="I181" s="5"/>
      <c r="J181" s="7"/>
      <c r="K181" s="7"/>
      <c r="L181" s="5"/>
      <c r="M181" s="8" t="str">
        <f aca="true">IF(B181="","",IF(L181="Hidden","Hidden",IF(AND(J181&lt;&gt;"",J181&gt;TODAY()),"Scheduled",IF(AND(K181&lt;&gt;"",K181&lt;TODAY()),"Expired","Showing"))))</f>
        <v/>
      </c>
    </row>
    <row r="182" customFormat="false" ht="15" hidden="false" customHeight="false" outlineLevel="0" collapsed="false">
      <c r="A182" s="5"/>
      <c r="B182" s="5"/>
      <c r="C182" s="5"/>
      <c r="D182" s="5"/>
      <c r="E182" s="5"/>
      <c r="F182" s="5"/>
      <c r="G182" s="5"/>
      <c r="H182" s="5"/>
      <c r="I182" s="5"/>
      <c r="J182" s="7"/>
      <c r="K182" s="7"/>
      <c r="L182" s="5"/>
      <c r="M182" s="8" t="str">
        <f aca="true">IF(B182="","",IF(L182="Hidden","Hidden",IF(AND(J182&lt;&gt;"",J182&gt;TODAY()),"Scheduled",IF(AND(K182&lt;&gt;"",K182&lt;TODAY()),"Expired","Showing"))))</f>
        <v/>
      </c>
    </row>
    <row r="183" customFormat="false" ht="15" hidden="false" customHeight="false" outlineLevel="0" collapsed="false">
      <c r="A183" s="5"/>
      <c r="B183" s="5"/>
      <c r="C183" s="5"/>
      <c r="D183" s="5"/>
      <c r="E183" s="5"/>
      <c r="F183" s="5"/>
      <c r="G183" s="5"/>
      <c r="H183" s="5"/>
      <c r="I183" s="5"/>
      <c r="J183" s="7"/>
      <c r="K183" s="7"/>
      <c r="L183" s="5"/>
      <c r="M183" s="8" t="str">
        <f aca="true">IF(B183="","",IF(L183="Hidden","Hidden",IF(AND(J183&lt;&gt;"",J183&gt;TODAY()),"Scheduled",IF(AND(K183&lt;&gt;"",K183&lt;TODAY()),"Expired","Showing"))))</f>
        <v/>
      </c>
    </row>
    <row r="184" customFormat="false" ht="15" hidden="false" customHeight="false" outlineLevel="0" collapsed="false">
      <c r="A184" s="5"/>
      <c r="B184" s="5"/>
      <c r="C184" s="5"/>
      <c r="D184" s="5"/>
      <c r="E184" s="5"/>
      <c r="F184" s="5"/>
      <c r="G184" s="5"/>
      <c r="H184" s="5"/>
      <c r="I184" s="5"/>
      <c r="J184" s="7"/>
      <c r="K184" s="7"/>
      <c r="L184" s="5"/>
      <c r="M184" s="8" t="str">
        <f aca="true">IF(B184="","",IF(L184="Hidden","Hidden",IF(AND(J184&lt;&gt;"",J184&gt;TODAY()),"Scheduled",IF(AND(K184&lt;&gt;"",K184&lt;TODAY()),"Expired","Showing"))))</f>
        <v/>
      </c>
    </row>
    <row r="185" customFormat="false" ht="15" hidden="false" customHeight="false" outlineLevel="0" collapsed="false">
      <c r="A185" s="5"/>
      <c r="B185" s="5"/>
      <c r="C185" s="5"/>
      <c r="D185" s="5"/>
      <c r="E185" s="5"/>
      <c r="F185" s="5"/>
      <c r="G185" s="5"/>
      <c r="H185" s="5"/>
      <c r="I185" s="5"/>
      <c r="J185" s="7"/>
      <c r="K185" s="7"/>
      <c r="L185" s="5"/>
      <c r="M185" s="8" t="str">
        <f aca="true">IF(B185="","",IF(L185="Hidden","Hidden",IF(AND(J185&lt;&gt;"",J185&gt;TODAY()),"Scheduled",IF(AND(K185&lt;&gt;"",K185&lt;TODAY()),"Expired","Showing"))))</f>
        <v/>
      </c>
    </row>
    <row r="186" customFormat="false" ht="15" hidden="false" customHeight="false" outlineLevel="0" collapsed="false">
      <c r="A186" s="5"/>
      <c r="B186" s="5"/>
      <c r="C186" s="5"/>
      <c r="D186" s="5"/>
      <c r="E186" s="5"/>
      <c r="F186" s="5"/>
      <c r="G186" s="5"/>
      <c r="H186" s="5"/>
      <c r="I186" s="5"/>
      <c r="J186" s="7"/>
      <c r="K186" s="7"/>
      <c r="L186" s="5"/>
      <c r="M186" s="8" t="str">
        <f aca="true">IF(B186="","",IF(L186="Hidden","Hidden",IF(AND(J186&lt;&gt;"",J186&gt;TODAY()),"Scheduled",IF(AND(K186&lt;&gt;"",K186&lt;TODAY()),"Expired","Showing"))))</f>
        <v/>
      </c>
    </row>
    <row r="187" customFormat="false" ht="15" hidden="false" customHeight="false" outlineLevel="0" collapsed="false">
      <c r="A187" s="5"/>
      <c r="B187" s="5"/>
      <c r="C187" s="5"/>
      <c r="D187" s="5"/>
      <c r="E187" s="5"/>
      <c r="F187" s="5"/>
      <c r="G187" s="5"/>
      <c r="H187" s="5"/>
      <c r="I187" s="5"/>
      <c r="J187" s="7"/>
      <c r="K187" s="7"/>
      <c r="L187" s="5"/>
      <c r="M187" s="8" t="str">
        <f aca="true">IF(B187="","",IF(L187="Hidden","Hidden",IF(AND(J187&lt;&gt;"",J187&gt;TODAY()),"Scheduled",IF(AND(K187&lt;&gt;"",K187&lt;TODAY()),"Expired","Showing"))))</f>
        <v/>
      </c>
    </row>
    <row r="188" customFormat="false" ht="15" hidden="false" customHeight="false" outlineLevel="0" collapsed="false">
      <c r="A188" s="5"/>
      <c r="B188" s="5"/>
      <c r="C188" s="5"/>
      <c r="D188" s="5"/>
      <c r="E188" s="5"/>
      <c r="F188" s="5"/>
      <c r="G188" s="5"/>
      <c r="H188" s="5"/>
      <c r="I188" s="5"/>
      <c r="J188" s="7"/>
      <c r="K188" s="7"/>
      <c r="L188" s="5"/>
      <c r="M188" s="8" t="str">
        <f aca="true">IF(B188="","",IF(L188="Hidden","Hidden",IF(AND(J188&lt;&gt;"",J188&gt;TODAY()),"Scheduled",IF(AND(K188&lt;&gt;"",K188&lt;TODAY()),"Expired","Showing"))))</f>
        <v/>
      </c>
    </row>
    <row r="189" customFormat="false" ht="15" hidden="false" customHeight="false" outlineLevel="0" collapsed="false">
      <c r="A189" s="5"/>
      <c r="B189" s="5"/>
      <c r="C189" s="5"/>
      <c r="D189" s="5"/>
      <c r="E189" s="5"/>
      <c r="F189" s="5"/>
      <c r="G189" s="5"/>
      <c r="H189" s="5"/>
      <c r="I189" s="5"/>
      <c r="J189" s="7"/>
      <c r="K189" s="7"/>
      <c r="L189" s="5"/>
      <c r="M189" s="8" t="str">
        <f aca="true">IF(B189="","",IF(L189="Hidden","Hidden",IF(AND(J189&lt;&gt;"",J189&gt;TODAY()),"Scheduled",IF(AND(K189&lt;&gt;"",K189&lt;TODAY()),"Expired","Showing"))))</f>
        <v/>
      </c>
    </row>
    <row r="190" customFormat="false" ht="15" hidden="false" customHeight="false" outlineLevel="0" collapsed="false">
      <c r="A190" s="5"/>
      <c r="B190" s="5"/>
      <c r="C190" s="5"/>
      <c r="D190" s="5"/>
      <c r="E190" s="5"/>
      <c r="F190" s="5"/>
      <c r="G190" s="5"/>
      <c r="H190" s="5"/>
      <c r="I190" s="5"/>
      <c r="J190" s="7"/>
      <c r="K190" s="7"/>
      <c r="L190" s="5"/>
      <c r="M190" s="8" t="str">
        <f aca="true">IF(B190="","",IF(L190="Hidden","Hidden",IF(AND(J190&lt;&gt;"",J190&gt;TODAY()),"Scheduled",IF(AND(K190&lt;&gt;"",K190&lt;TODAY()),"Expired","Showing"))))</f>
        <v/>
      </c>
    </row>
    <row r="191" customFormat="false" ht="15" hidden="false" customHeight="false" outlineLevel="0" collapsed="false">
      <c r="A191" s="5"/>
      <c r="B191" s="5"/>
      <c r="C191" s="5"/>
      <c r="D191" s="5"/>
      <c r="E191" s="5"/>
      <c r="F191" s="5"/>
      <c r="G191" s="5"/>
      <c r="H191" s="5"/>
      <c r="I191" s="5"/>
      <c r="J191" s="7"/>
      <c r="K191" s="7"/>
      <c r="L191" s="5"/>
      <c r="M191" s="8" t="str">
        <f aca="true">IF(B191="","",IF(L191="Hidden","Hidden",IF(AND(J191&lt;&gt;"",J191&gt;TODAY()),"Scheduled",IF(AND(K191&lt;&gt;"",K191&lt;TODAY()),"Expired","Showing"))))</f>
        <v/>
      </c>
    </row>
    <row r="192" customFormat="false" ht="15" hidden="false" customHeight="false" outlineLevel="0" collapsed="false">
      <c r="A192" s="5"/>
      <c r="B192" s="5"/>
      <c r="C192" s="5"/>
      <c r="D192" s="5"/>
      <c r="E192" s="5"/>
      <c r="F192" s="5"/>
      <c r="G192" s="5"/>
      <c r="H192" s="5"/>
      <c r="I192" s="5"/>
      <c r="J192" s="7"/>
      <c r="K192" s="7"/>
      <c r="L192" s="5"/>
      <c r="M192" s="8" t="str">
        <f aca="true">IF(B192="","",IF(L192="Hidden","Hidden",IF(AND(J192&lt;&gt;"",J192&gt;TODAY()),"Scheduled",IF(AND(K192&lt;&gt;"",K192&lt;TODAY()),"Expired","Showing"))))</f>
        <v/>
      </c>
    </row>
    <row r="193" customFormat="false" ht="15" hidden="false" customHeight="false" outlineLevel="0" collapsed="false">
      <c r="A193" s="5"/>
      <c r="B193" s="5"/>
      <c r="C193" s="5"/>
      <c r="D193" s="5"/>
      <c r="E193" s="5"/>
      <c r="F193" s="5"/>
      <c r="G193" s="5"/>
      <c r="H193" s="5"/>
      <c r="I193" s="5"/>
      <c r="J193" s="7"/>
      <c r="K193" s="7"/>
      <c r="L193" s="5"/>
      <c r="M193" s="8" t="str">
        <f aca="true">IF(B193="","",IF(L193="Hidden","Hidden",IF(AND(J193&lt;&gt;"",J193&gt;TODAY()),"Scheduled",IF(AND(K193&lt;&gt;"",K193&lt;TODAY()),"Expired","Showing"))))</f>
        <v/>
      </c>
    </row>
    <row r="194" customFormat="false" ht="15" hidden="false" customHeight="false" outlineLevel="0" collapsed="false">
      <c r="A194" s="5"/>
      <c r="B194" s="5"/>
      <c r="C194" s="5"/>
      <c r="D194" s="5"/>
      <c r="E194" s="5"/>
      <c r="F194" s="5"/>
      <c r="G194" s="5"/>
      <c r="H194" s="5"/>
      <c r="I194" s="5"/>
      <c r="J194" s="7"/>
      <c r="K194" s="7"/>
      <c r="L194" s="5"/>
      <c r="M194" s="8" t="str">
        <f aca="true">IF(B194="","",IF(L194="Hidden","Hidden",IF(AND(J194&lt;&gt;"",J194&gt;TODAY()),"Scheduled",IF(AND(K194&lt;&gt;"",K194&lt;TODAY()),"Expired","Showing"))))</f>
        <v/>
      </c>
    </row>
    <row r="195" customFormat="false" ht="15" hidden="false" customHeight="false" outlineLevel="0" collapsed="false">
      <c r="A195" s="5"/>
      <c r="B195" s="5"/>
      <c r="C195" s="5"/>
      <c r="D195" s="5"/>
      <c r="E195" s="5"/>
      <c r="F195" s="5"/>
      <c r="G195" s="5"/>
      <c r="H195" s="5"/>
      <c r="I195" s="5"/>
      <c r="J195" s="7"/>
      <c r="K195" s="7"/>
      <c r="L195" s="5"/>
      <c r="M195" s="8" t="str">
        <f aca="true">IF(B195="","",IF(L195="Hidden","Hidden",IF(AND(J195&lt;&gt;"",J195&gt;TODAY()),"Scheduled",IF(AND(K195&lt;&gt;"",K195&lt;TODAY()),"Expired","Showing"))))</f>
        <v/>
      </c>
    </row>
    <row r="196" customFormat="false" ht="15" hidden="false" customHeight="false" outlineLevel="0" collapsed="false">
      <c r="A196" s="5"/>
      <c r="B196" s="5"/>
      <c r="C196" s="5"/>
      <c r="D196" s="5"/>
      <c r="E196" s="5"/>
      <c r="F196" s="5"/>
      <c r="G196" s="5"/>
      <c r="H196" s="5"/>
      <c r="I196" s="5"/>
      <c r="J196" s="7"/>
      <c r="K196" s="7"/>
      <c r="L196" s="5"/>
      <c r="M196" s="8" t="str">
        <f aca="true">IF(B196="","",IF(L196="Hidden","Hidden",IF(AND(J196&lt;&gt;"",J196&gt;TODAY()),"Scheduled",IF(AND(K196&lt;&gt;"",K196&lt;TODAY()),"Expired","Showing"))))</f>
        <v/>
      </c>
    </row>
    <row r="197" customFormat="false" ht="15" hidden="false" customHeight="false" outlineLevel="0" collapsed="false">
      <c r="A197" s="5"/>
      <c r="B197" s="5"/>
      <c r="C197" s="5"/>
      <c r="D197" s="5"/>
      <c r="E197" s="5"/>
      <c r="F197" s="5"/>
      <c r="G197" s="5"/>
      <c r="H197" s="5"/>
      <c r="I197" s="5"/>
      <c r="J197" s="7"/>
      <c r="K197" s="7"/>
      <c r="L197" s="5"/>
      <c r="M197" s="8" t="str">
        <f aca="true">IF(B197="","",IF(L197="Hidden","Hidden",IF(AND(J197&lt;&gt;"",J197&gt;TODAY()),"Scheduled",IF(AND(K197&lt;&gt;"",K197&lt;TODAY()),"Expired","Showing"))))</f>
        <v/>
      </c>
    </row>
    <row r="198" customFormat="false" ht="15" hidden="false" customHeight="false" outlineLevel="0" collapsed="false">
      <c r="A198" s="5"/>
      <c r="B198" s="5"/>
      <c r="C198" s="5"/>
      <c r="D198" s="5"/>
      <c r="E198" s="5"/>
      <c r="F198" s="5"/>
      <c r="G198" s="5"/>
      <c r="H198" s="5"/>
      <c r="I198" s="5"/>
      <c r="J198" s="7"/>
      <c r="K198" s="7"/>
      <c r="L198" s="5"/>
      <c r="M198" s="8" t="str">
        <f aca="true">IF(B198="","",IF(L198="Hidden","Hidden",IF(AND(J198&lt;&gt;"",J198&gt;TODAY()),"Scheduled",IF(AND(K198&lt;&gt;"",K198&lt;TODAY()),"Expired","Showing"))))</f>
        <v/>
      </c>
    </row>
    <row r="199" customFormat="false" ht="15" hidden="false" customHeight="false" outlineLevel="0" collapsed="false">
      <c r="A199" s="5"/>
      <c r="B199" s="5"/>
      <c r="C199" s="5"/>
      <c r="D199" s="5"/>
      <c r="E199" s="5"/>
      <c r="F199" s="5"/>
      <c r="G199" s="5"/>
      <c r="H199" s="5"/>
      <c r="I199" s="5"/>
      <c r="J199" s="7"/>
      <c r="K199" s="7"/>
      <c r="L199" s="5"/>
      <c r="M199" s="8" t="str">
        <f aca="true">IF(B199="","",IF(L199="Hidden","Hidden",IF(AND(J199&lt;&gt;"",J199&gt;TODAY()),"Scheduled",IF(AND(K199&lt;&gt;"",K199&lt;TODAY()),"Expired","Showing"))))</f>
        <v/>
      </c>
    </row>
    <row r="200" customFormat="false" ht="15" hidden="false" customHeight="false" outlineLevel="0" collapsed="false">
      <c r="A200" s="5"/>
      <c r="B200" s="5"/>
      <c r="C200" s="5"/>
      <c r="D200" s="5"/>
      <c r="E200" s="5"/>
      <c r="F200" s="5"/>
      <c r="G200" s="5"/>
      <c r="H200" s="5"/>
      <c r="I200" s="5"/>
      <c r="J200" s="7"/>
      <c r="K200" s="7"/>
      <c r="L200" s="5"/>
      <c r="M200" s="8" t="str">
        <f aca="true">IF(B200="","",IF(L200="Hidden","Hidden",IF(AND(J200&lt;&gt;"",J200&gt;TODAY()),"Scheduled",IF(AND(K200&lt;&gt;"",K200&lt;TODAY()),"Expired","Showing"))))</f>
        <v/>
      </c>
    </row>
  </sheetData>
  <conditionalFormatting sqref="M2:M200">
    <cfRule type="expression" priority="2" aboveAverage="0" equalAverage="0" bottom="0" percent="0" rank="0" text="" dxfId="0">
      <formula>OR(M2="Showing",M2="Regular",M2="Special, in effect")</formula>
    </cfRule>
    <cfRule type="expression" priority="3" aboveAverage="0" equalAverage="0" bottom="0" percent="0" rank="0" text="" dxfId="1">
      <formula>M2="Scheduled"</formula>
    </cfRule>
    <cfRule type="expression" priority="4" aboveAverage="0" equalAverage="0" bottom="0" percent="0" rank="0" text="" dxfId="2">
      <formula>OR(M2="Expired",M2="Hidden")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L2:L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2026-10-09T22:30:54Z</dcterms:created>
  <dc:creator>openpyxl</dc:creator>
  <dc:description/>
  <dc:language>en-US</dc:language>
  <cp:lastModifiedBy/>
  <dcterms:modified xsi:type="dcterms:W3CDTF">2026-10-09T22:30:55Z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